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0350" windowHeight="8080"/>
  </bookViews>
  <sheets>
    <sheet name="Daily Pivot" sheetId="6" r:id="rId1"/>
    <sheet name="transactions-view" sheetId="1" r:id="rId2"/>
    <sheet name="Summary Pivot" sheetId="2" r:id="rId3"/>
    <sheet name="Reference" sheetId="4" r:id="rId4"/>
    <sheet name="merchants" sheetId="5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<sst xmlns="http://schemas.openxmlformats.org/spreadsheetml/2006/main" count="2270" uniqueCount="666">
  <si>
    <t>merchant_id</t>
  </si>
  <si>
    <t>transaction_time</t>
  </si>
  <si>
    <t>Sum of amount_inr</t>
  </si>
  <si>
    <t>5-Jan</t>
  </si>
  <si>
    <t>6-Jan</t>
  </si>
  <si>
    <t>9-Jan</t>
  </si>
  <si>
    <t>11-Jan</t>
  </si>
  <si>
    <t>12-Jan</t>
  </si>
  <si>
    <t>17-Jan</t>
  </si>
  <si>
    <t>23-Jan</t>
  </si>
  <si>
    <t>7-Jan</t>
  </si>
  <si>
    <t>8-Jan</t>
  </si>
  <si>
    <t>13-Jan</t>
  </si>
  <si>
    <t>15-Jan</t>
  </si>
  <si>
    <t>19-Jan</t>
  </si>
  <si>
    <t>22-Jan</t>
  </si>
  <si>
    <t>26-Jan</t>
  </si>
  <si>
    <t>30-Jan</t>
  </si>
  <si>
    <t>3-Jan</t>
  </si>
  <si>
    <t>16-Jan</t>
  </si>
  <si>
    <t>20-Jan</t>
  </si>
  <si>
    <t>29-Jan</t>
  </si>
  <si>
    <t>2-Jan</t>
  </si>
  <si>
    <t>24-Jan</t>
  </si>
  <si>
    <t>25-Jan</t>
  </si>
  <si>
    <t>1-Jan</t>
  </si>
  <si>
    <t>10-Jan</t>
  </si>
  <si>
    <t>18-Jan</t>
  </si>
  <si>
    <t>21-Jan</t>
  </si>
  <si>
    <t>27-Jan</t>
  </si>
  <si>
    <t>4-Jan</t>
  </si>
  <si>
    <t>14-Jan</t>
  </si>
  <si>
    <t>28-Jan</t>
  </si>
  <si>
    <t>(blank)</t>
  </si>
  <si>
    <t>Grand Total</t>
  </si>
  <si>
    <t>transaction_id</t>
  </si>
  <si>
    <t>user_id</t>
  </si>
  <si>
    <t>merchant name</t>
  </si>
  <si>
    <t>category</t>
  </si>
  <si>
    <t>region</t>
  </si>
  <si>
    <t>amount_inr</t>
  </si>
  <si>
    <t>payment_method</t>
  </si>
  <si>
    <t>status</t>
  </si>
  <si>
    <t>risk_score</t>
  </si>
  <si>
    <t>MDR Fee %</t>
  </si>
  <si>
    <t>Date</t>
  </si>
  <si>
    <t>High_value Flag</t>
  </si>
  <si>
    <t xml:space="preserve"> </t>
  </si>
  <si>
    <t>TXN100000</t>
  </si>
  <si>
    <t>Wallet</t>
  </si>
  <si>
    <t>captured</t>
  </si>
  <si>
    <t>TXN100001</t>
  </si>
  <si>
    <t>UPI</t>
  </si>
  <si>
    <t>TXN100002</t>
  </si>
  <si>
    <t>TXN100003</t>
  </si>
  <si>
    <t>Netbanking</t>
  </si>
  <si>
    <t>TXN100004</t>
  </si>
  <si>
    <t>TXN100005</t>
  </si>
  <si>
    <t>TXN100006</t>
  </si>
  <si>
    <t>TXN100007</t>
  </si>
  <si>
    <t>TXN100008</t>
  </si>
  <si>
    <t>TXN100009</t>
  </si>
  <si>
    <t>TXN100010</t>
  </si>
  <si>
    <t>TXN100011</t>
  </si>
  <si>
    <t>Card</t>
  </si>
  <si>
    <t>failed</t>
  </si>
  <si>
    <t>TXN100012</t>
  </si>
  <si>
    <t>TXN100013</t>
  </si>
  <si>
    <t>TXN100014</t>
  </si>
  <si>
    <t>TXN100015</t>
  </si>
  <si>
    <t>TXN100016</t>
  </si>
  <si>
    <t>TXN100017</t>
  </si>
  <si>
    <t>TXN100018</t>
  </si>
  <si>
    <t>TXN100019</t>
  </si>
  <si>
    <t>TXN100020</t>
  </si>
  <si>
    <t>TXN100021</t>
  </si>
  <si>
    <t>TXN100022</t>
  </si>
  <si>
    <t>TXN100023</t>
  </si>
  <si>
    <t>chargeback</t>
  </si>
  <si>
    <t>TXN100024</t>
  </si>
  <si>
    <t>TXN100025</t>
  </si>
  <si>
    <t>TXN100026</t>
  </si>
  <si>
    <t>TXN100027</t>
  </si>
  <si>
    <t>TXN100028</t>
  </si>
  <si>
    <t>TXN100029</t>
  </si>
  <si>
    <t>TXN100030</t>
  </si>
  <si>
    <t>TXN100031</t>
  </si>
  <si>
    <t>TXN100032</t>
  </si>
  <si>
    <t>TXN100033</t>
  </si>
  <si>
    <t>TXN100034</t>
  </si>
  <si>
    <t>TXN100035</t>
  </si>
  <si>
    <t>TXN100036</t>
  </si>
  <si>
    <t>TXN100037</t>
  </si>
  <si>
    <t>TXN100038</t>
  </si>
  <si>
    <t>TXN100039</t>
  </si>
  <si>
    <t>TXN100040</t>
  </si>
  <si>
    <t>TXN100041</t>
  </si>
  <si>
    <t>TXN100042</t>
  </si>
  <si>
    <t>TXN100043</t>
  </si>
  <si>
    <t>TXN100044</t>
  </si>
  <si>
    <t>TXN100045</t>
  </si>
  <si>
    <t>TXN100046</t>
  </si>
  <si>
    <t>TXN100047</t>
  </si>
  <si>
    <t>TXN100048</t>
  </si>
  <si>
    <t>TXN100049</t>
  </si>
  <si>
    <t>TXN100050</t>
  </si>
  <si>
    <t>TXN100051</t>
  </si>
  <si>
    <t>TXN100052</t>
  </si>
  <si>
    <t>TXN100053</t>
  </si>
  <si>
    <t>TXN100054</t>
  </si>
  <si>
    <t>TXN100055</t>
  </si>
  <si>
    <t>TXN100056</t>
  </si>
  <si>
    <t>TXN100057</t>
  </si>
  <si>
    <t>TXN100058</t>
  </si>
  <si>
    <t>TXN100059</t>
  </si>
  <si>
    <t>TXN100060</t>
  </si>
  <si>
    <t>TXN100061</t>
  </si>
  <si>
    <t>TXN100062</t>
  </si>
  <si>
    <t>TXN100063</t>
  </si>
  <si>
    <t>TXN100064</t>
  </si>
  <si>
    <t>TXN100065</t>
  </si>
  <si>
    <t>TXN100066</t>
  </si>
  <si>
    <t>TXN100067</t>
  </si>
  <si>
    <t>TXN100068</t>
  </si>
  <si>
    <t>TXN100069</t>
  </si>
  <si>
    <t>TXN100070</t>
  </si>
  <si>
    <t>TXN100071</t>
  </si>
  <si>
    <t>TXN100072</t>
  </si>
  <si>
    <t>TXN100073</t>
  </si>
  <si>
    <t>TXN100074</t>
  </si>
  <si>
    <t>TXN100075</t>
  </si>
  <si>
    <t>TXN100076</t>
  </si>
  <si>
    <t>TXN100077</t>
  </si>
  <si>
    <t>TXN100078</t>
  </si>
  <si>
    <t>TXN100079</t>
  </si>
  <si>
    <t>TXN100080</t>
  </si>
  <si>
    <t>TXN100081</t>
  </si>
  <si>
    <t>TXN100082</t>
  </si>
  <si>
    <t>TXN100083</t>
  </si>
  <si>
    <t>TXN100084</t>
  </si>
  <si>
    <t>TXN100085</t>
  </si>
  <si>
    <t>TXN100086</t>
  </si>
  <si>
    <t>TXN100087</t>
  </si>
  <si>
    <t>TXN100088</t>
  </si>
  <si>
    <t>TXN100089</t>
  </si>
  <si>
    <t>TXN100090</t>
  </si>
  <si>
    <t>TXN100091</t>
  </si>
  <si>
    <t>TXN100092</t>
  </si>
  <si>
    <t>TXN100093</t>
  </si>
  <si>
    <t>TXN100094</t>
  </si>
  <si>
    <t>TXN100095</t>
  </si>
  <si>
    <t>TXN100096</t>
  </si>
  <si>
    <t>TXN100097</t>
  </si>
  <si>
    <t>TXN100098</t>
  </si>
  <si>
    <t>TXN100099</t>
  </si>
  <si>
    <t>TXN100100</t>
  </si>
  <si>
    <t>TXN100101</t>
  </si>
  <si>
    <t>TXN100102</t>
  </si>
  <si>
    <t>TXN100103</t>
  </si>
  <si>
    <t>TXN100104</t>
  </si>
  <si>
    <t>TXN100105</t>
  </si>
  <si>
    <t>TXN100106</t>
  </si>
  <si>
    <t>TXN100107</t>
  </si>
  <si>
    <t>TXN100108</t>
  </si>
  <si>
    <t>TXN100109</t>
  </si>
  <si>
    <t>TXN100110</t>
  </si>
  <si>
    <t>TXN100111</t>
  </si>
  <si>
    <t>TXN100112</t>
  </si>
  <si>
    <t>TXN100113</t>
  </si>
  <si>
    <t>TXN100114</t>
  </si>
  <si>
    <t>TXN100115</t>
  </si>
  <si>
    <t>TXN100116</t>
  </si>
  <si>
    <t>TXN100117</t>
  </si>
  <si>
    <t>TXN100118</t>
  </si>
  <si>
    <t>TXN100119</t>
  </si>
  <si>
    <t>TXN100120</t>
  </si>
  <si>
    <t>TXN100121</t>
  </si>
  <si>
    <t>TXN100122</t>
  </si>
  <si>
    <t>TXN100123</t>
  </si>
  <si>
    <t>TXN100124</t>
  </si>
  <si>
    <t>TXN100125</t>
  </si>
  <si>
    <t>TXN100126</t>
  </si>
  <si>
    <t>TXN100127</t>
  </si>
  <si>
    <t>TXN100128</t>
  </si>
  <si>
    <t>TXN100129</t>
  </si>
  <si>
    <t>TXN100130</t>
  </si>
  <si>
    <t>TXN100131</t>
  </si>
  <si>
    <t>TXN100132</t>
  </si>
  <si>
    <t>TXN100133</t>
  </si>
  <si>
    <t>TXN100134</t>
  </si>
  <si>
    <t>TXN100135</t>
  </si>
  <si>
    <t>TXN100136</t>
  </si>
  <si>
    <t>TXN100137</t>
  </si>
  <si>
    <t>TXN100138</t>
  </si>
  <si>
    <t>TXN100139</t>
  </si>
  <si>
    <t>TXN100140</t>
  </si>
  <si>
    <t>TXN100141</t>
  </si>
  <si>
    <t>TXN100142</t>
  </si>
  <si>
    <t>TXN100143</t>
  </si>
  <si>
    <t>TXN100144</t>
  </si>
  <si>
    <t>TXN100145</t>
  </si>
  <si>
    <t>TXN100146</t>
  </si>
  <si>
    <t>TXN100147</t>
  </si>
  <si>
    <t>TXN100148</t>
  </si>
  <si>
    <t>TXN100149</t>
  </si>
  <si>
    <t>TXN100150</t>
  </si>
  <si>
    <t>TXN100151</t>
  </si>
  <si>
    <t>TXN100152</t>
  </si>
  <si>
    <t>TXN100153</t>
  </si>
  <si>
    <t>TXN100154</t>
  </si>
  <si>
    <t>TXN100155</t>
  </si>
  <si>
    <t>TXN100156</t>
  </si>
  <si>
    <t>TXN100157</t>
  </si>
  <si>
    <t>TXN100158</t>
  </si>
  <si>
    <t>TXN100159</t>
  </si>
  <si>
    <t>TXN100160</t>
  </si>
  <si>
    <t>TXN100161</t>
  </si>
  <si>
    <t>TXN100162</t>
  </si>
  <si>
    <t>TXN100163</t>
  </si>
  <si>
    <t>TXN100164</t>
  </si>
  <si>
    <t>TXN100165</t>
  </si>
  <si>
    <t>TXN100166</t>
  </si>
  <si>
    <t>TXN100167</t>
  </si>
  <si>
    <t>TXN100168</t>
  </si>
  <si>
    <t>TXN100169</t>
  </si>
  <si>
    <t>TXN100170</t>
  </si>
  <si>
    <t>TXN100171</t>
  </si>
  <si>
    <t>TXN100172</t>
  </si>
  <si>
    <t>TXN100173</t>
  </si>
  <si>
    <t>TXN100174</t>
  </si>
  <si>
    <t>TXN100175</t>
  </si>
  <si>
    <t>TXN100176</t>
  </si>
  <si>
    <t>TXN100177</t>
  </si>
  <si>
    <t>TXN100178</t>
  </si>
  <si>
    <t>TXN100179</t>
  </si>
  <si>
    <t>TXN100180</t>
  </si>
  <si>
    <t>TXN100181</t>
  </si>
  <si>
    <t>TXN100182</t>
  </si>
  <si>
    <t>TXN100183</t>
  </si>
  <si>
    <t>TXN100184</t>
  </si>
  <si>
    <t>TXN100185</t>
  </si>
  <si>
    <t>TXN100186</t>
  </si>
  <si>
    <t>TXN100187</t>
  </si>
  <si>
    <t>TXN100188</t>
  </si>
  <si>
    <t>TXN100189</t>
  </si>
  <si>
    <t>TXN100190</t>
  </si>
  <si>
    <t>TXN100191</t>
  </si>
  <si>
    <t>TXN100192</t>
  </si>
  <si>
    <t>TXN100193</t>
  </si>
  <si>
    <t>TXN100194</t>
  </si>
  <si>
    <t>TXN100195</t>
  </si>
  <si>
    <t>TXN100196</t>
  </si>
  <si>
    <t>TXN100197</t>
  </si>
  <si>
    <t>TXN100198</t>
  </si>
  <si>
    <t>TXN100199</t>
  </si>
  <si>
    <t>TXN100200</t>
  </si>
  <si>
    <t>TXN100201</t>
  </si>
  <si>
    <t>TXN100202</t>
  </si>
  <si>
    <t>TXN100203</t>
  </si>
  <si>
    <t>TXN100204</t>
  </si>
  <si>
    <t>TXN100205</t>
  </si>
  <si>
    <t>TXN100206</t>
  </si>
  <si>
    <t>TXN100207</t>
  </si>
  <si>
    <t>TXN100208</t>
  </si>
  <si>
    <t>TXN100209</t>
  </si>
  <si>
    <t>TXN100210</t>
  </si>
  <si>
    <t>TXN100211</t>
  </si>
  <si>
    <t>TXN100212</t>
  </si>
  <si>
    <t>TXN100213</t>
  </si>
  <si>
    <t>TXN100214</t>
  </si>
  <si>
    <t>TXN100215</t>
  </si>
  <si>
    <t>TXN100216</t>
  </si>
  <si>
    <t>TXN100217</t>
  </si>
  <si>
    <t>TXN100218</t>
  </si>
  <si>
    <t>TXN100219</t>
  </si>
  <si>
    <t>TXN100220</t>
  </si>
  <si>
    <t>TXN100221</t>
  </si>
  <si>
    <t>TXN100222</t>
  </si>
  <si>
    <t>TXN100223</t>
  </si>
  <si>
    <t>TXN100224</t>
  </si>
  <si>
    <t>TXN100225</t>
  </si>
  <si>
    <t>TXN100226</t>
  </si>
  <si>
    <t>TXN100227</t>
  </si>
  <si>
    <t>TXN100228</t>
  </si>
  <si>
    <t>TXN100229</t>
  </si>
  <si>
    <t>TXN100230</t>
  </si>
  <si>
    <t>TXN100231</t>
  </si>
  <si>
    <t>TXN100232</t>
  </si>
  <si>
    <t>TXN100233</t>
  </si>
  <si>
    <t>TXN100234</t>
  </si>
  <si>
    <t>TXN100235</t>
  </si>
  <si>
    <t>TXN100236</t>
  </si>
  <si>
    <t>TXN100237</t>
  </si>
  <si>
    <t>TXN100238</t>
  </si>
  <si>
    <t>TXN100239</t>
  </si>
  <si>
    <t>TXN100240</t>
  </si>
  <si>
    <t>TXN100241</t>
  </si>
  <si>
    <t>TXN100242</t>
  </si>
  <si>
    <t>TXN100243</t>
  </si>
  <si>
    <t>TXN100244</t>
  </si>
  <si>
    <t>TXN100245</t>
  </si>
  <si>
    <t>TXN100246</t>
  </si>
  <si>
    <t>TXN100247</t>
  </si>
  <si>
    <t>TXN100248</t>
  </si>
  <si>
    <t>TXN100249</t>
  </si>
  <si>
    <t>TXN100250</t>
  </si>
  <si>
    <t>TXN100251</t>
  </si>
  <si>
    <t>TXN100252</t>
  </si>
  <si>
    <t>TXN100253</t>
  </si>
  <si>
    <t>TXN100254</t>
  </si>
  <si>
    <t>TXN100255</t>
  </si>
  <si>
    <t>TXN100256</t>
  </si>
  <si>
    <t>TXN100257</t>
  </si>
  <si>
    <t>TXN100258</t>
  </si>
  <si>
    <t>TXN100259</t>
  </si>
  <si>
    <t>TXN100260</t>
  </si>
  <si>
    <t>TXN100261</t>
  </si>
  <si>
    <t>TXN100262</t>
  </si>
  <si>
    <t>TXN100263</t>
  </si>
  <si>
    <t>TXN100264</t>
  </si>
  <si>
    <t>TXN100265</t>
  </si>
  <si>
    <t>TXN100266</t>
  </si>
  <si>
    <t>TXN100267</t>
  </si>
  <si>
    <t>TXN100268</t>
  </si>
  <si>
    <t>TXN100269</t>
  </si>
  <si>
    <t>TXN100270</t>
  </si>
  <si>
    <t>TXN100271</t>
  </si>
  <si>
    <t>TXN100272</t>
  </si>
  <si>
    <t>TXN100273</t>
  </si>
  <si>
    <t>TXN100274</t>
  </si>
  <si>
    <t>TXN100275</t>
  </si>
  <si>
    <t>TXN100276</t>
  </si>
  <si>
    <t>TXN100277</t>
  </si>
  <si>
    <t>TXN100278</t>
  </si>
  <si>
    <t>TXN100279</t>
  </si>
  <si>
    <t>TXN100280</t>
  </si>
  <si>
    <t>TXN100281</t>
  </si>
  <si>
    <t>TXN100282</t>
  </si>
  <si>
    <t>TXN100283</t>
  </si>
  <si>
    <t>TXN100284</t>
  </si>
  <si>
    <t>TXN100285</t>
  </si>
  <si>
    <t>TXN100286</t>
  </si>
  <si>
    <t>TXN100287</t>
  </si>
  <si>
    <t>TXN100288</t>
  </si>
  <si>
    <t>TXN100289</t>
  </si>
  <si>
    <t>TXN100290</t>
  </si>
  <si>
    <t>TXN100291</t>
  </si>
  <si>
    <t>TXN100292</t>
  </si>
  <si>
    <t>TXN100293</t>
  </si>
  <si>
    <t>TXN100294</t>
  </si>
  <si>
    <t>TXN100295</t>
  </si>
  <si>
    <t>TXN100296</t>
  </si>
  <si>
    <t>TXN100297</t>
  </si>
  <si>
    <t>TXN100298</t>
  </si>
  <si>
    <t>TXN100299</t>
  </si>
  <si>
    <t>TXN100300</t>
  </si>
  <si>
    <t>TXN100301</t>
  </si>
  <si>
    <t>TXN100302</t>
  </si>
  <si>
    <t>TXN100303</t>
  </si>
  <si>
    <t>TXN100304</t>
  </si>
  <si>
    <t>TXN100305</t>
  </si>
  <si>
    <t>TXN100306</t>
  </si>
  <si>
    <t>TXN100307</t>
  </si>
  <si>
    <t>TXN100308</t>
  </si>
  <si>
    <t>TXN100309</t>
  </si>
  <si>
    <t>TXN100310</t>
  </si>
  <si>
    <t>TXN100311</t>
  </si>
  <si>
    <t>TXN100312</t>
  </si>
  <si>
    <t>TXN100313</t>
  </si>
  <si>
    <t>TXN100314</t>
  </si>
  <si>
    <t>TXN100315</t>
  </si>
  <si>
    <t>TXN100316</t>
  </si>
  <si>
    <t>TXN100317</t>
  </si>
  <si>
    <t>TXN100318</t>
  </si>
  <si>
    <t>TXN100319</t>
  </si>
  <si>
    <t>TXN100320</t>
  </si>
  <si>
    <t>TXN100321</t>
  </si>
  <si>
    <t>TXN100322</t>
  </si>
  <si>
    <t>TXN100323</t>
  </si>
  <si>
    <t>TXN100324</t>
  </si>
  <si>
    <t>TXN100325</t>
  </si>
  <si>
    <t>TXN100326</t>
  </si>
  <si>
    <t>TXN100327</t>
  </si>
  <si>
    <t>TXN100328</t>
  </si>
  <si>
    <t>TXN100329</t>
  </si>
  <si>
    <t>TXN100330</t>
  </si>
  <si>
    <t>TXN100331</t>
  </si>
  <si>
    <t>TXN100332</t>
  </si>
  <si>
    <t>TXN100333</t>
  </si>
  <si>
    <t>TXN100334</t>
  </si>
  <si>
    <t>TXN100335</t>
  </si>
  <si>
    <t>TXN100336</t>
  </si>
  <si>
    <t>TXN100337</t>
  </si>
  <si>
    <t>TXN100338</t>
  </si>
  <si>
    <t>TXN100339</t>
  </si>
  <si>
    <t>TXN100340</t>
  </si>
  <si>
    <t>TXN100341</t>
  </si>
  <si>
    <t>TXN100342</t>
  </si>
  <si>
    <t>TXN100343</t>
  </si>
  <si>
    <t>TXN100344</t>
  </si>
  <si>
    <t>TXN100345</t>
  </si>
  <si>
    <t>TXN100346</t>
  </si>
  <si>
    <t>TXN100347</t>
  </si>
  <si>
    <t>TXN100348</t>
  </si>
  <si>
    <t>TXN100349</t>
  </si>
  <si>
    <t>TXN100350</t>
  </si>
  <si>
    <t>TXN100351</t>
  </si>
  <si>
    <t>TXN100352</t>
  </si>
  <si>
    <t>TXN100353</t>
  </si>
  <si>
    <t>TXN100354</t>
  </si>
  <si>
    <t>TXN100355</t>
  </si>
  <si>
    <t>TXN100356</t>
  </si>
  <si>
    <t>TXN100357</t>
  </si>
  <si>
    <t>TXN100358</t>
  </si>
  <si>
    <t>TXN100359</t>
  </si>
  <si>
    <t>TXN100360</t>
  </si>
  <si>
    <t>TXN100361</t>
  </si>
  <si>
    <t>TXN100362</t>
  </si>
  <si>
    <t>TXN100363</t>
  </si>
  <si>
    <t>TXN100364</t>
  </si>
  <si>
    <t>TXN100365</t>
  </si>
  <si>
    <t>TXN100366</t>
  </si>
  <si>
    <t>TXN100367</t>
  </si>
  <si>
    <t>TXN100368</t>
  </si>
  <si>
    <t>TXN100369</t>
  </si>
  <si>
    <t>TXN100370</t>
  </si>
  <si>
    <t>TXN100371</t>
  </si>
  <si>
    <t>TXN100372</t>
  </si>
  <si>
    <t>TXN100373</t>
  </si>
  <si>
    <t>TXN100374</t>
  </si>
  <si>
    <t>TXN100375</t>
  </si>
  <si>
    <t>TXN100376</t>
  </si>
  <si>
    <t>TXN100377</t>
  </si>
  <si>
    <t>TXN100378</t>
  </si>
  <si>
    <t>TXN100379</t>
  </si>
  <si>
    <t>TXN100380</t>
  </si>
  <si>
    <t>TXN100381</t>
  </si>
  <si>
    <t>TXN100382</t>
  </si>
  <si>
    <t>TXN100383</t>
  </si>
  <si>
    <t>TXN100384</t>
  </si>
  <si>
    <t>TXN100385</t>
  </si>
  <si>
    <t>TXN100386</t>
  </si>
  <si>
    <t>TXN100387</t>
  </si>
  <si>
    <t>TXN100388</t>
  </si>
  <si>
    <t>TXN100389</t>
  </si>
  <si>
    <t>TXN100390</t>
  </si>
  <si>
    <t>TXN100391</t>
  </si>
  <si>
    <t>TXN100392</t>
  </si>
  <si>
    <t>TXN100393</t>
  </si>
  <si>
    <t>TXN100394</t>
  </si>
  <si>
    <t>TXN100395</t>
  </si>
  <si>
    <t>TXN100396</t>
  </si>
  <si>
    <t>TXN100397</t>
  </si>
  <si>
    <t>TXN100398</t>
  </si>
  <si>
    <t>TXN100399</t>
  </si>
  <si>
    <t>TXN100400</t>
  </si>
  <si>
    <t>TXN100401</t>
  </si>
  <si>
    <t>TXN100402</t>
  </si>
  <si>
    <t>TXN100403</t>
  </si>
  <si>
    <t>TXN100404</t>
  </si>
  <si>
    <t>TXN100405</t>
  </si>
  <si>
    <t>TXN100406</t>
  </si>
  <si>
    <t>TXN100407</t>
  </si>
  <si>
    <t>TXN100408</t>
  </si>
  <si>
    <t>TXN100409</t>
  </si>
  <si>
    <t>TXN100410</t>
  </si>
  <si>
    <t>TXN100411</t>
  </si>
  <si>
    <t>TXN100412</t>
  </si>
  <si>
    <t>TXN100413</t>
  </si>
  <si>
    <t>TXN100414</t>
  </si>
  <si>
    <t>TXN100415</t>
  </si>
  <si>
    <t>TXN100416</t>
  </si>
  <si>
    <t>TXN100417</t>
  </si>
  <si>
    <t>TXN100418</t>
  </si>
  <si>
    <t>TXN100419</t>
  </si>
  <si>
    <t>TXN100420</t>
  </si>
  <si>
    <t>TXN100421</t>
  </si>
  <si>
    <t>TXN100422</t>
  </si>
  <si>
    <t>TXN100423</t>
  </si>
  <si>
    <t>TXN100424</t>
  </si>
  <si>
    <t>TXN100425</t>
  </si>
  <si>
    <t>TXN100426</t>
  </si>
  <si>
    <t>TXN100427</t>
  </si>
  <si>
    <t>TXN100428</t>
  </si>
  <si>
    <t>TXN100429</t>
  </si>
  <si>
    <t>TXN100430</t>
  </si>
  <si>
    <t>TXN100431</t>
  </si>
  <si>
    <t>TXN100432</t>
  </si>
  <si>
    <t>TXN100433</t>
  </si>
  <si>
    <t>TXN100434</t>
  </si>
  <si>
    <t>TXN100435</t>
  </si>
  <si>
    <t>TXN100436</t>
  </si>
  <si>
    <t>TXN100437</t>
  </si>
  <si>
    <t>TXN100438</t>
  </si>
  <si>
    <t>TXN100439</t>
  </si>
  <si>
    <t>TXN100440</t>
  </si>
  <si>
    <t>TXN100441</t>
  </si>
  <si>
    <t>TXN100442</t>
  </si>
  <si>
    <t>TXN100443</t>
  </si>
  <si>
    <t>TXN100444</t>
  </si>
  <si>
    <t>TXN100445</t>
  </si>
  <si>
    <t>TXN100446</t>
  </si>
  <si>
    <t>TXN100447</t>
  </si>
  <si>
    <t>TXN100448</t>
  </si>
  <si>
    <t>TXN100449</t>
  </si>
  <si>
    <t>TXN100450</t>
  </si>
  <si>
    <t>TXN100451</t>
  </si>
  <si>
    <t>TXN100452</t>
  </si>
  <si>
    <t>TXN100453</t>
  </si>
  <si>
    <t>TXN100454</t>
  </si>
  <si>
    <t>TXN100455</t>
  </si>
  <si>
    <t>TXN100456</t>
  </si>
  <si>
    <t>TXN100457</t>
  </si>
  <si>
    <t>TXN100458</t>
  </si>
  <si>
    <t>TXN100459</t>
  </si>
  <si>
    <t>TXN100460</t>
  </si>
  <si>
    <t>TXN100461</t>
  </si>
  <si>
    <t>TXN100462</t>
  </si>
  <si>
    <t>TXN100463</t>
  </si>
  <si>
    <t>TXN100464</t>
  </si>
  <si>
    <t>TXN100465</t>
  </si>
  <si>
    <t>TXN100466</t>
  </si>
  <si>
    <t>TXN100467</t>
  </si>
  <si>
    <t>TXN100468</t>
  </si>
  <si>
    <t>TXN100469</t>
  </si>
  <si>
    <t>TXN100470</t>
  </si>
  <si>
    <t>TXN100471</t>
  </si>
  <si>
    <t>TXN100472</t>
  </si>
  <si>
    <t>TXN100473</t>
  </si>
  <si>
    <t>TXN100474</t>
  </si>
  <si>
    <t>TXN100475</t>
  </si>
  <si>
    <t>TXN100476</t>
  </si>
  <si>
    <t>TXN100477</t>
  </si>
  <si>
    <t>TXN100478</t>
  </si>
  <si>
    <t>TXN100479</t>
  </si>
  <si>
    <t>TXN100480</t>
  </si>
  <si>
    <t>TXN100481</t>
  </si>
  <si>
    <t>TXN100482</t>
  </si>
  <si>
    <t>TXN100483</t>
  </si>
  <si>
    <t>TXN100484</t>
  </si>
  <si>
    <t>TXN100485</t>
  </si>
  <si>
    <t>TXN100486</t>
  </si>
  <si>
    <t>TXN100487</t>
  </si>
  <si>
    <t>TXN100488</t>
  </si>
  <si>
    <t>TXN100489</t>
  </si>
  <si>
    <t>TXN100490</t>
  </si>
  <si>
    <t>TXN100491</t>
  </si>
  <si>
    <t>TXN100492</t>
  </si>
  <si>
    <t>TXN100493</t>
  </si>
  <si>
    <t>TXN100494</t>
  </si>
  <si>
    <t>TXN100495</t>
  </si>
  <si>
    <t>TXN100496</t>
  </si>
  <si>
    <t>TXN100497</t>
  </si>
  <si>
    <t>TXN100498</t>
  </si>
  <si>
    <t>TXN100499</t>
  </si>
  <si>
    <t>TXN200000</t>
  </si>
  <si>
    <t>TXN200001</t>
  </si>
  <si>
    <t>TXN200002</t>
  </si>
  <si>
    <t>TXN200003</t>
  </si>
  <si>
    <t>TXN200004</t>
  </si>
  <si>
    <t>TXN200005</t>
  </si>
  <si>
    <t>TXN200006</t>
  </si>
  <si>
    <t>TXN200007</t>
  </si>
  <si>
    <t>TXN200008</t>
  </si>
  <si>
    <t>TXN200009</t>
  </si>
  <si>
    <t>TXN200010</t>
  </si>
  <si>
    <t>TXN200011</t>
  </si>
  <si>
    <t>TXN200012</t>
  </si>
  <si>
    <t>TXN200013</t>
  </si>
  <si>
    <t>TXN200014</t>
  </si>
  <si>
    <t>TXN300000</t>
  </si>
  <si>
    <t>TXN300001</t>
  </si>
  <si>
    <t>TXN300002</t>
  </si>
  <si>
    <t>TXN300003</t>
  </si>
  <si>
    <t>TXN300004</t>
  </si>
  <si>
    <t>TXN300005</t>
  </si>
  <si>
    <t>TXN300006</t>
  </si>
  <si>
    <t>TXN300007</t>
  </si>
  <si>
    <t>TXN300008</t>
  </si>
  <si>
    <t>TXN300009</t>
  </si>
  <si>
    <t>TXN300010</t>
  </si>
  <si>
    <t>TXN300011</t>
  </si>
  <si>
    <t>TXN300012</t>
  </si>
  <si>
    <t>TXN300013</t>
  </si>
  <si>
    <t>TXN300014</t>
  </si>
  <si>
    <t>TXN300015</t>
  </si>
  <si>
    <t>TXN300016</t>
  </si>
  <si>
    <t>TXN300017</t>
  </si>
  <si>
    <t>TXN300018</t>
  </si>
  <si>
    <t>TXN300019</t>
  </si>
  <si>
    <t>TXN300020</t>
  </si>
  <si>
    <t>TXN300021</t>
  </si>
  <si>
    <t>TXN300022</t>
  </si>
  <si>
    <t>TXN300023</t>
  </si>
  <si>
    <t>TXN300024</t>
  </si>
  <si>
    <t>TXN300025</t>
  </si>
  <si>
    <t>TXN300026</t>
  </si>
  <si>
    <t>TXN300027</t>
  </si>
  <si>
    <t>TXN300028</t>
  </si>
  <si>
    <t>TXN300029</t>
  </si>
  <si>
    <t>TXN300030</t>
  </si>
  <si>
    <t>TXN300031</t>
  </si>
  <si>
    <t>SUM of amount_inr</t>
  </si>
  <si>
    <t>COUNTA of transaction_id</t>
  </si>
  <si>
    <t>COUNTUNIQUE of Date</t>
  </si>
  <si>
    <t>1 Total</t>
  </si>
  <si>
    <t>2 Total</t>
  </si>
  <si>
    <t>3 Total</t>
  </si>
  <si>
    <t>4 Total</t>
  </si>
  <si>
    <t>5 Total</t>
  </si>
  <si>
    <t>Payment Method</t>
  </si>
  <si>
    <t>Fee Percentage</t>
  </si>
  <si>
    <t>Design Decision: Assumed MDR fee tiers for HLOOKUP demonstration</t>
  </si>
  <si>
    <t>Design Decision: Classification Rule for High-Value Merchant Day is exactly (Daily Transaction Total &gt; 5000 INR) AND (Region != 'East'). Calculated using SUMIFS inline, validated by the 'Daily Pivot' sheet.</t>
  </si>
  <si>
    <t>merchant_name</t>
  </si>
  <si>
    <t>Merchant_001</t>
  </si>
  <si>
    <t>ecommerce</t>
  </si>
  <si>
    <t>South</t>
  </si>
  <si>
    <t>Merchant_002</t>
  </si>
  <si>
    <t>grocery</t>
  </si>
  <si>
    <t>West</t>
  </si>
  <si>
    <t>Merchant_003</t>
  </si>
  <si>
    <t>East</t>
  </si>
  <si>
    <t>Merchant_004</t>
  </si>
  <si>
    <t>Merchant_005</t>
  </si>
  <si>
    <t>recharge</t>
  </si>
  <si>
    <t>Merchant_006</t>
  </si>
  <si>
    <t>food_delivery</t>
  </si>
  <si>
    <t>Merchant_007</t>
  </si>
  <si>
    <t>Merchant_008</t>
  </si>
  <si>
    <t>North</t>
  </si>
  <si>
    <t>Merchant_009</t>
  </si>
  <si>
    <t>Merchant_010</t>
  </si>
  <si>
    <t>Merchant_011</t>
  </si>
  <si>
    <t>Merchant_012</t>
  </si>
  <si>
    <t>Merchant_013</t>
  </si>
  <si>
    <t>travel</t>
  </si>
  <si>
    <t>Merchant_014</t>
  </si>
  <si>
    <t>Merchant_015</t>
  </si>
  <si>
    <t>Merchant_016</t>
  </si>
  <si>
    <t>bill_payment</t>
  </si>
  <si>
    <t>Merchant_017</t>
  </si>
  <si>
    <t>Merchant_018</t>
  </si>
  <si>
    <t>Merchant_019</t>
  </si>
  <si>
    <t>Merchant_020</t>
  </si>
  <si>
    <t>Merchant_021</t>
  </si>
  <si>
    <t>Merchant_022</t>
  </si>
  <si>
    <t>Merchant_023</t>
  </si>
  <si>
    <t>Merchant_024</t>
  </si>
  <si>
    <t>Merchant_025</t>
  </si>
  <si>
    <t>Merchant_026</t>
  </si>
  <si>
    <t>Merchant_027</t>
  </si>
  <si>
    <t>Merchant_028</t>
  </si>
  <si>
    <t>Merchant_029</t>
  </si>
  <si>
    <t>Merchant_030</t>
  </si>
  <si>
    <t>Merchant_031</t>
  </si>
  <si>
    <t>Merchant_032</t>
  </si>
  <si>
    <t>Merchant_033</t>
  </si>
  <si>
    <t>Merchant_034</t>
  </si>
  <si>
    <t>Merchant_035</t>
  </si>
  <si>
    <t>Merchant_036</t>
  </si>
  <si>
    <t>entertainment</t>
  </si>
  <si>
    <t>Merchant_037</t>
  </si>
  <si>
    <t>Merchant_038</t>
  </si>
  <si>
    <t>Merchant_039</t>
  </si>
  <si>
    <t>Merchant_040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</si>
</sst>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  <numFmt numFmtId="181" formatCode="yyyy/mm/dd\ hh:mm:ss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 applyFont="1" applyAlignment="1"/>
    <xf numFmtId="0" fontId="1" fillId="0" borderId="0" xfId="0" applyFont="1" applyAlignment="1"/>
    <xf numFmtId="10" fontId="1" fillId="0" borderId="0" xfId="0" applyNumberFormat="1" applyFont="1" applyAlignment="1"/>
    <xf numFmtId="0" fontId="1" fillId="0" borderId="0" xfId="0" applyFont="1"/>
    <xf numFmtId="180" fontId="1" fillId="0" borderId="0" xfId="0" applyNumberFormat="1" applyFont="1" applyAlignment="1"/>
    <xf numFmtId="181" fontId="1" fillId="0" borderId="0" xfId="0" applyNumberFormat="1" applyFont="1" applyAlignment="1"/>
    <xf numFmtId="10" fontId="1" fillId="0" borderId="0" xfId="0" applyNumberFormat="1" applyFont="1"/>
    <xf numFmtId="180" fontId="1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60.638599537" refreshedBy="nehag" recordCount="548">
  <cacheSource type="worksheet">
    <worksheetSource ref="A1:AC1048576" sheet="transactions-view"/>
  </cacheSource>
  <cacheFields count="29">
    <cacheField name="transaction_id" numFmtId="0">
      <sharedItems containsBlank="1" count="548">
        <s v="TXN100000"/>
        <s v="TXN100001"/>
        <s v="TXN100002"/>
        <s v="TXN100003"/>
        <s v="TXN100004"/>
        <s v="TXN100005"/>
        <s v="TXN100006"/>
        <s v="TXN100007"/>
        <s v="TXN100008"/>
        <s v="TXN100009"/>
        <s v="TXN100010"/>
        <s v="TXN100011"/>
        <s v="TXN100012"/>
        <s v="TXN100013"/>
        <s v="TXN100014"/>
        <s v="TXN100015"/>
        <s v="TXN100016"/>
        <s v="TXN100017"/>
        <s v="TXN100018"/>
        <s v="TXN100019"/>
        <s v="TXN100020"/>
        <s v="TXN100021"/>
        <s v="TXN100022"/>
        <s v="TXN100023"/>
        <s v="TXN100024"/>
        <s v="TXN100025"/>
        <s v="TXN100026"/>
        <s v="TXN100027"/>
        <s v="TXN100028"/>
        <s v="TXN100029"/>
        <s v="TXN100030"/>
        <s v="TXN100031"/>
        <s v="TXN100032"/>
        <s v="TXN100033"/>
        <s v="TXN100034"/>
        <s v="TXN100035"/>
        <s v="TXN100036"/>
        <s v="TXN100037"/>
        <s v="TXN100038"/>
        <s v="TXN100039"/>
        <s v="TXN100040"/>
        <s v="TXN100041"/>
        <s v="TXN100042"/>
        <s v="TXN100043"/>
        <s v="TXN100044"/>
        <s v="TXN100045"/>
        <s v="TXN100046"/>
        <s v="TXN100047"/>
        <s v="TXN100048"/>
        <s v="TXN100049"/>
        <s v="TXN100050"/>
        <s v="TXN100051"/>
        <s v="TXN100052"/>
        <s v="TXN100053"/>
        <s v="TXN100054"/>
        <s v="TXN100055"/>
        <s v="TXN100056"/>
        <s v="TXN100057"/>
        <s v="TXN100058"/>
        <s v="TXN100059"/>
        <s v="TXN100060"/>
        <s v="TXN100061"/>
        <s v="TXN100062"/>
        <s v="TXN100063"/>
        <s v="TXN100064"/>
        <s v="TXN100065"/>
        <s v="TXN100066"/>
        <s v="TXN100067"/>
        <s v="TXN100068"/>
        <s v="TXN100069"/>
        <s v="TXN100070"/>
        <s v="TXN100071"/>
        <s v="TXN100072"/>
        <s v="TXN100073"/>
        <s v="TXN100074"/>
        <s v="TXN100075"/>
        <s v="TXN100076"/>
        <s v="TXN100077"/>
        <s v="TXN100078"/>
        <s v="TXN100079"/>
        <s v="TXN100080"/>
        <s v="TXN100081"/>
        <s v="TXN100082"/>
        <s v="TXN100083"/>
        <s v="TXN100084"/>
        <s v="TXN100085"/>
        <s v="TXN100086"/>
        <s v="TXN100087"/>
        <s v="TXN100088"/>
        <s v="TXN100089"/>
        <s v="TXN100090"/>
        <s v="TXN100091"/>
        <s v="TXN100092"/>
        <s v="TXN100093"/>
        <s v="TXN100094"/>
        <s v="TXN100095"/>
        <s v="TXN100096"/>
        <s v="TXN100097"/>
        <s v="TXN100098"/>
        <s v="TXN100099"/>
        <s v="TXN100100"/>
        <s v="TXN100101"/>
        <s v="TXN100102"/>
        <s v="TXN100103"/>
        <s v="TXN100104"/>
        <s v="TXN100105"/>
        <s v="TXN100106"/>
        <s v="TXN100107"/>
        <s v="TXN100108"/>
        <s v="TXN100109"/>
        <s v="TXN100110"/>
        <s v="TXN100111"/>
        <s v="TXN100112"/>
        <s v="TXN100113"/>
        <s v="TXN100114"/>
        <s v="TXN100115"/>
        <s v="TXN100116"/>
        <s v="TXN100117"/>
        <s v="TXN100118"/>
        <s v="TXN100119"/>
        <s v="TXN100120"/>
        <s v="TXN100121"/>
        <s v="TXN100122"/>
        <s v="TXN100123"/>
        <s v="TXN100124"/>
        <s v="TXN100125"/>
        <s v="TXN100126"/>
        <s v="TXN100127"/>
        <s v="TXN100128"/>
        <s v="TXN100129"/>
        <s v="TXN100130"/>
        <s v="TXN100131"/>
        <s v="TXN100132"/>
        <s v="TXN100133"/>
        <s v="TXN100134"/>
        <s v="TXN100135"/>
        <s v="TXN100136"/>
        <s v="TXN100137"/>
        <s v="TXN100138"/>
        <s v="TXN100139"/>
        <s v="TXN100140"/>
        <s v="TXN100141"/>
        <s v="TXN100142"/>
        <s v="TXN100143"/>
        <s v="TXN100144"/>
        <s v="TXN100145"/>
        <s v="TXN100146"/>
        <s v="TXN100147"/>
        <s v="TXN100148"/>
        <s v="TXN100149"/>
        <s v="TXN100150"/>
        <s v="TXN100151"/>
        <s v="TXN100152"/>
        <s v="TXN100153"/>
        <s v="TXN100154"/>
        <s v="TXN100155"/>
        <s v="TXN100156"/>
        <s v="TXN100157"/>
        <s v="TXN100158"/>
        <s v="TXN100159"/>
        <s v="TXN100160"/>
        <s v="TXN100161"/>
        <s v="TXN100162"/>
        <s v="TXN100163"/>
        <s v="TXN100164"/>
        <s v="TXN100165"/>
        <s v="TXN100166"/>
        <s v="TXN100167"/>
        <s v="TXN100168"/>
        <s v="TXN100169"/>
        <s v="TXN100170"/>
        <s v="TXN100171"/>
        <s v="TXN100172"/>
        <s v="TXN100173"/>
        <s v="TXN100174"/>
        <s v="TXN100175"/>
        <s v="TXN100176"/>
        <s v="TXN100177"/>
        <s v="TXN100178"/>
        <s v="TXN100179"/>
        <s v="TXN100180"/>
        <s v="TXN100181"/>
        <s v="TXN100182"/>
        <s v="TXN100183"/>
        <s v="TXN100184"/>
        <s v="TXN100185"/>
        <s v="TXN100186"/>
        <s v="TXN100187"/>
        <s v="TXN100188"/>
        <s v="TXN100189"/>
        <s v="TXN100190"/>
        <s v="TXN100191"/>
        <s v="TXN100192"/>
        <s v="TXN100193"/>
        <s v="TXN100194"/>
        <s v="TXN100195"/>
        <s v="TXN100196"/>
        <s v="TXN100197"/>
        <s v="TXN100198"/>
        <s v="TXN100199"/>
        <s v="TXN100200"/>
        <s v="TXN100201"/>
        <s v="TXN100202"/>
        <s v="TXN100203"/>
        <s v="TXN100204"/>
        <s v="TXN100205"/>
        <s v="TXN100206"/>
        <s v="TXN100207"/>
        <s v="TXN100208"/>
        <s v="TXN100209"/>
        <s v="TXN100210"/>
        <s v="TXN100211"/>
        <s v="TXN100212"/>
        <s v="TXN100213"/>
        <s v="TXN100214"/>
        <s v="TXN100215"/>
        <s v="TXN100216"/>
        <s v="TXN100217"/>
        <s v="TXN100218"/>
        <s v="TXN100219"/>
        <s v="TXN100220"/>
        <s v="TXN100221"/>
        <s v="TXN100222"/>
        <s v="TXN100223"/>
        <s v="TXN100224"/>
        <s v="TXN100225"/>
        <s v="TXN100226"/>
        <s v="TXN100227"/>
        <s v="TXN100228"/>
        <s v="TXN100229"/>
        <s v="TXN100230"/>
        <s v="TXN100231"/>
        <s v="TXN100232"/>
        <s v="TXN100233"/>
        <s v="TXN100234"/>
        <s v="TXN100235"/>
        <s v="TXN100236"/>
        <s v="TXN100237"/>
        <s v="TXN100238"/>
        <s v="TXN100239"/>
        <s v="TXN100240"/>
        <s v="TXN100241"/>
        <s v="TXN100242"/>
        <s v="TXN100243"/>
        <s v="TXN100244"/>
        <s v="TXN100245"/>
        <s v="TXN100246"/>
        <s v="TXN100247"/>
        <s v="TXN100248"/>
        <s v="TXN100249"/>
        <s v="TXN100250"/>
        <s v="TXN100251"/>
        <s v="TXN100252"/>
        <s v="TXN100253"/>
        <s v="TXN100254"/>
        <s v="TXN100255"/>
        <s v="TXN100256"/>
        <s v="TXN100257"/>
        <s v="TXN100258"/>
        <s v="TXN100259"/>
        <s v="TXN100260"/>
        <s v="TXN100261"/>
        <s v="TXN100262"/>
        <s v="TXN100263"/>
        <s v="TXN100264"/>
        <s v="TXN100265"/>
        <s v="TXN100266"/>
        <s v="TXN100267"/>
        <s v="TXN100268"/>
        <s v="TXN100269"/>
        <s v="TXN100270"/>
        <s v="TXN100271"/>
        <s v="TXN100272"/>
        <s v="TXN100273"/>
        <s v="TXN100274"/>
        <s v="TXN100275"/>
        <s v="TXN100276"/>
        <s v="TXN100277"/>
        <s v="TXN100278"/>
        <s v="TXN100279"/>
        <s v="TXN100280"/>
        <s v="TXN100281"/>
        <s v="TXN100282"/>
        <s v="TXN100283"/>
        <s v="TXN100284"/>
        <s v="TXN100285"/>
        <s v="TXN100286"/>
        <s v="TXN100287"/>
        <s v="TXN100288"/>
        <s v="TXN100289"/>
        <s v="TXN100290"/>
        <s v="TXN100291"/>
        <s v="TXN100292"/>
        <s v="TXN100293"/>
        <s v="TXN100294"/>
        <s v="TXN100295"/>
        <s v="TXN100296"/>
        <s v="TXN100297"/>
        <s v="TXN100298"/>
        <s v="TXN100299"/>
        <s v="TXN100300"/>
        <s v="TXN100301"/>
        <s v="TXN100302"/>
        <s v="TXN100303"/>
        <s v="TXN100304"/>
        <s v="TXN100305"/>
        <s v="TXN100306"/>
        <s v="TXN100307"/>
        <s v="TXN100308"/>
        <s v="TXN100309"/>
        <s v="TXN100310"/>
        <s v="TXN100311"/>
        <s v="TXN100312"/>
        <s v="TXN100313"/>
        <s v="TXN100314"/>
        <s v="TXN100315"/>
        <s v="TXN100316"/>
        <s v="TXN100317"/>
        <s v="TXN100318"/>
        <s v="TXN100319"/>
        <s v="TXN100320"/>
        <s v="TXN100321"/>
        <s v="TXN100322"/>
        <s v="TXN100323"/>
        <s v="TXN100324"/>
        <s v="TXN100325"/>
        <s v="TXN100326"/>
        <s v="TXN100327"/>
        <s v="TXN100328"/>
        <s v="TXN100329"/>
        <s v="TXN100330"/>
        <s v="TXN100331"/>
        <s v="TXN100332"/>
        <s v="TXN100333"/>
        <s v="TXN100334"/>
        <s v="TXN100335"/>
        <s v="TXN100336"/>
        <s v="TXN100337"/>
        <s v="TXN100338"/>
        <s v="TXN100339"/>
        <s v="TXN100340"/>
        <s v="TXN100341"/>
        <s v="TXN100342"/>
        <s v="TXN100343"/>
        <s v="TXN100344"/>
        <s v="TXN100345"/>
        <s v="TXN100346"/>
        <s v="TXN100347"/>
        <s v="TXN100348"/>
        <s v="TXN100349"/>
        <s v="TXN100350"/>
        <s v="TXN100351"/>
        <s v="TXN100352"/>
        <s v="TXN100353"/>
        <s v="TXN100354"/>
        <s v="TXN100355"/>
        <s v="TXN100356"/>
        <s v="TXN100357"/>
        <s v="TXN100358"/>
        <s v="TXN100359"/>
        <s v="TXN100360"/>
        <s v="TXN100361"/>
        <s v="TXN100362"/>
        <s v="TXN100363"/>
        <s v="TXN100364"/>
        <s v="TXN100365"/>
        <s v="TXN100366"/>
        <s v="TXN100367"/>
        <s v="TXN100368"/>
        <s v="TXN100369"/>
        <s v="TXN100370"/>
        <s v="TXN100371"/>
        <s v="TXN100372"/>
        <s v="TXN100373"/>
        <s v="TXN100374"/>
        <s v="TXN100375"/>
        <s v="TXN100376"/>
        <s v="TXN100377"/>
        <s v="TXN100378"/>
        <s v="TXN100379"/>
        <s v="TXN100380"/>
        <s v="TXN100381"/>
        <s v="TXN100382"/>
        <s v="TXN100383"/>
        <s v="TXN100384"/>
        <s v="TXN100385"/>
        <s v="TXN100386"/>
        <s v="TXN100387"/>
        <s v="TXN100388"/>
        <s v="TXN100389"/>
        <s v="TXN100390"/>
        <s v="TXN100391"/>
        <s v="TXN100392"/>
        <s v="TXN100393"/>
        <s v="TXN100394"/>
        <s v="TXN100395"/>
        <s v="TXN100396"/>
        <s v="TXN100397"/>
        <s v="TXN100398"/>
        <s v="TXN100399"/>
        <s v="TXN100400"/>
        <s v="TXN100401"/>
        <s v="TXN100402"/>
        <s v="TXN100403"/>
        <s v="TXN100404"/>
        <s v="TXN100405"/>
        <s v="TXN100406"/>
        <s v="TXN100407"/>
        <s v="TXN100408"/>
        <s v="TXN100409"/>
        <s v="TXN100410"/>
        <s v="TXN100411"/>
        <s v="TXN100412"/>
        <s v="TXN100413"/>
        <s v="TXN100414"/>
        <s v="TXN100415"/>
        <s v="TXN100416"/>
        <s v="TXN100417"/>
        <s v="TXN100418"/>
        <s v="TXN100419"/>
        <s v="TXN100420"/>
        <s v="TXN100421"/>
        <s v="TXN100422"/>
        <s v="TXN100423"/>
        <s v="TXN100424"/>
        <s v="TXN100425"/>
        <s v="TXN100426"/>
        <s v="TXN100427"/>
        <s v="TXN100428"/>
        <s v="TXN100429"/>
        <s v="TXN100430"/>
        <s v="TXN100431"/>
        <s v="TXN100432"/>
        <s v="TXN100433"/>
        <s v="TXN100434"/>
        <s v="TXN100435"/>
        <s v="TXN100436"/>
        <s v="TXN100437"/>
        <s v="TXN100438"/>
        <s v="TXN100439"/>
        <s v="TXN100440"/>
        <s v="TXN100441"/>
        <s v="TXN100442"/>
        <s v="TXN100443"/>
        <s v="TXN100444"/>
        <s v="TXN100445"/>
        <s v="TXN100446"/>
        <s v="TXN100447"/>
        <s v="TXN100448"/>
        <s v="TXN100449"/>
        <s v="TXN100450"/>
        <s v="TXN100451"/>
        <s v="TXN100452"/>
        <s v="TXN100453"/>
        <s v="TXN100454"/>
        <s v="TXN100455"/>
        <s v="TXN100456"/>
        <s v="TXN100457"/>
        <s v="TXN100458"/>
        <s v="TXN100459"/>
        <s v="TXN100460"/>
        <s v="TXN100461"/>
        <s v="TXN100462"/>
        <s v="TXN100463"/>
        <s v="TXN100464"/>
        <s v="TXN100465"/>
        <s v="TXN100466"/>
        <s v="TXN100467"/>
        <s v="TXN100468"/>
        <s v="TXN100469"/>
        <s v="TXN100470"/>
        <s v="TXN100471"/>
        <s v="TXN100472"/>
        <s v="TXN100473"/>
        <s v="TXN100474"/>
        <s v="TXN100475"/>
        <s v="TXN100476"/>
        <s v="TXN100477"/>
        <s v="TXN100478"/>
        <s v="TXN100479"/>
        <s v="TXN100480"/>
        <s v="TXN100481"/>
        <s v="TXN100482"/>
        <s v="TXN100483"/>
        <s v="TXN100484"/>
        <s v="TXN100485"/>
        <s v="TXN100486"/>
        <s v="TXN100487"/>
        <s v="TXN100488"/>
        <s v="TXN100489"/>
        <s v="TXN100490"/>
        <s v="TXN100491"/>
        <s v="TXN100492"/>
        <s v="TXN100493"/>
        <s v="TXN100494"/>
        <s v="TXN100495"/>
        <s v="TXN100496"/>
        <s v="TXN100497"/>
        <s v="TXN100498"/>
        <s v="TXN100499"/>
        <s v="TXN200000"/>
        <s v="TXN200001"/>
        <s v="TXN200002"/>
        <s v="TXN200003"/>
        <s v="TXN200004"/>
        <s v="TXN200005"/>
        <s v="TXN200006"/>
        <s v="TXN200007"/>
        <s v="TXN200008"/>
        <s v="TXN200009"/>
        <s v="TXN200010"/>
        <s v="TXN200011"/>
        <s v="TXN200012"/>
        <s v="TXN200013"/>
        <s v="TXN200014"/>
        <s v="TXN300000"/>
        <s v="TXN300001"/>
        <s v="TXN300002"/>
        <s v="TXN300003"/>
        <s v="TXN300004"/>
        <s v="TXN300005"/>
        <s v="TXN300006"/>
        <s v="TXN300007"/>
        <s v="TXN300008"/>
        <s v="TXN300009"/>
        <s v="TXN300010"/>
        <s v="TXN300011"/>
        <s v="TXN300012"/>
        <s v="TXN300013"/>
        <s v="TXN300014"/>
        <s v="TXN300015"/>
        <s v="TXN300016"/>
        <s v="TXN300017"/>
        <s v="TXN300018"/>
        <s v="TXN300019"/>
        <s v="TXN300020"/>
        <s v="TXN300021"/>
        <s v="TXN300022"/>
        <s v="TXN300023"/>
        <s v="TXN300024"/>
        <s v="TXN300025"/>
        <s v="TXN300026"/>
        <s v="TXN300027"/>
        <s v="TXN300028"/>
        <s v="TXN300029"/>
        <s v="TXN300030"/>
        <s v="TXN300031"/>
        <m/>
      </sharedItems>
    </cacheField>
    <cacheField name="user_id" numFmtId="0">
      <sharedItems containsString="0" containsBlank="1" containsNumber="1" containsInteger="1" minValue="1" maxValue="365" count="284">
        <n v="350"/>
        <n v="287"/>
        <n v="122"/>
        <n v="92"/>
        <n v="343"/>
        <n v="196"/>
        <n v="236"/>
        <n v="13"/>
        <n v="36"/>
        <n v="348"/>
        <n v="134"/>
        <n v="306"/>
        <n v="311"/>
        <n v="131"/>
        <n v="276"/>
        <n v="170"/>
        <n v="154"/>
        <n v="207"/>
        <n v="341"/>
        <n v="292"/>
        <n v="147"/>
        <n v="336"/>
        <n v="110"/>
        <n v="338"/>
        <n v="318"/>
        <n v="159"/>
        <n v="126"/>
        <n v="213"/>
        <n v="254"/>
        <n v="3"/>
        <n v="266"/>
        <n v="63"/>
        <n v="272"/>
        <n v="259"/>
        <n v="244"/>
        <n v="327"/>
        <n v="321"/>
        <n v="277"/>
        <n v="79"/>
        <n v="278"/>
        <n v="216"/>
        <n v="295"/>
        <n v="200"/>
        <n v="309"/>
        <n v="249"/>
        <n v="208"/>
        <n v="274"/>
        <n v="14"/>
        <n v="237"/>
        <n v="109"/>
        <n v="334"/>
        <n v="11"/>
        <n v="132"/>
        <n v="59"/>
        <n v="160"/>
        <n v="102"/>
        <n v="53"/>
        <n v="290"/>
        <n v="190"/>
        <n v="248"/>
        <n v="138"/>
        <n v="231"/>
        <n v="167"/>
        <n v="133"/>
        <n v="142"/>
        <n v="124"/>
        <n v="151"/>
        <n v="340"/>
        <n v="177"/>
        <n v="233"/>
        <n v="99"/>
        <n v="95"/>
        <n v="302"/>
        <n v="100"/>
        <n v="8"/>
        <n v="284"/>
        <n v="252"/>
        <n v="246"/>
        <n v="245"/>
        <n v="296"/>
        <n v="44"/>
        <n v="157"/>
        <n v="51"/>
        <n v="42"/>
        <n v="81"/>
        <n v="241"/>
        <n v="145"/>
        <n v="136"/>
        <n v="137"/>
        <n v="158"/>
        <n v="148"/>
        <n v="166"/>
        <n v="346"/>
        <n v="326"/>
        <n v="171"/>
        <n v="211"/>
        <n v="282"/>
        <n v="1"/>
        <n v="227"/>
        <n v="323"/>
        <n v="283"/>
        <n v="150"/>
        <n v="197"/>
        <n v="70"/>
        <n v="260"/>
        <n v="301"/>
        <n v="279"/>
        <n v="97"/>
        <n v="52"/>
        <n v="74"/>
        <n v="163"/>
        <n v="121"/>
        <n v="15"/>
        <n v="184"/>
        <n v="90"/>
        <n v="119"/>
        <n v="342"/>
        <n v="280"/>
        <n v="155"/>
        <n v="152"/>
        <n v="21"/>
        <n v="187"/>
        <n v="188"/>
        <n v="85"/>
        <n v="174"/>
        <n v="116"/>
        <n v="203"/>
        <n v="189"/>
        <n v="56"/>
        <n v="288"/>
        <n v="60"/>
        <n v="199"/>
        <n v="17"/>
        <n v="186"/>
        <n v="331"/>
        <n v="328"/>
        <n v="65"/>
        <n v="230"/>
        <n v="258"/>
        <n v="32"/>
        <n v="312"/>
        <n v="325"/>
        <n v="221"/>
        <n v="161"/>
        <n v="222"/>
        <n v="67"/>
        <n v="169"/>
        <n v="217"/>
        <n v="54"/>
        <n v="247"/>
        <n v="337"/>
        <n v="16"/>
        <n v="215"/>
        <n v="140"/>
        <n v="250"/>
        <n v="62"/>
        <n v="224"/>
        <n v="262"/>
        <n v="179"/>
        <n v="76"/>
        <n v="89"/>
        <n v="91"/>
        <n v="297"/>
        <n v="78"/>
        <n v="156"/>
        <n v="38"/>
        <n v="305"/>
        <n v="22"/>
        <n v="310"/>
        <n v="269"/>
        <n v="307"/>
        <n v="130"/>
        <n v="66"/>
        <n v="261"/>
        <n v="71"/>
        <n v="317"/>
        <n v="93"/>
        <n v="313"/>
        <n v="103"/>
        <n v="329"/>
        <n v="265"/>
        <n v="114"/>
        <n v="28"/>
        <n v="242"/>
        <n v="316"/>
        <n v="77"/>
        <n v="57"/>
        <n v="123"/>
        <n v="33"/>
        <n v="324"/>
        <n v="293"/>
        <n v="183"/>
        <n v="322"/>
        <n v="330"/>
        <n v="235"/>
        <n v="204"/>
        <n v="332"/>
        <n v="205"/>
        <n v="255"/>
        <n v="218"/>
        <n v="86"/>
        <n v="181"/>
        <n v="30"/>
        <n v="263"/>
        <n v="225"/>
        <n v="228"/>
        <n v="229"/>
        <n v="164"/>
        <n v="149"/>
        <n v="185"/>
        <n v="94"/>
        <n v="64"/>
        <n v="41"/>
        <n v="289"/>
        <n v="153"/>
        <n v="226"/>
        <n v="82"/>
        <n v="26"/>
        <n v="69"/>
        <n v="24"/>
        <n v="20"/>
        <n v="234"/>
        <n v="168"/>
        <n v="251"/>
        <n v="195"/>
        <n v="314"/>
        <n v="273"/>
        <n v="349"/>
        <n v="143"/>
        <n v="335"/>
        <n v="46"/>
        <n v="19"/>
        <n v="55"/>
        <n v="173"/>
        <n v="206"/>
        <n v="128"/>
        <n v="6"/>
        <n v="281"/>
        <n v="106"/>
        <n v="29"/>
        <n v="112"/>
        <n v="194"/>
        <n v="115"/>
        <n v="345"/>
        <n v="118"/>
        <n v="315"/>
        <n v="25"/>
        <n v="120"/>
        <n v="165"/>
        <n v="267"/>
        <n v="286"/>
        <n v="214"/>
        <n v="105"/>
        <n v="239"/>
        <n v="39"/>
        <n v="4"/>
        <n v="182"/>
        <n v="88"/>
        <n v="291"/>
        <n v="144"/>
        <n v="162"/>
        <n v="178"/>
        <n v="139"/>
        <n v="125"/>
        <n v="87"/>
        <n v="75"/>
        <n v="127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73"/>
        <m/>
      </sharedItems>
    </cacheField>
    <cacheField name="merchant_id" numFmtId="0">
      <sharedItems containsString="0" containsBlank="1" containsNumber="1" containsInteger="1" minValue="1" maxValue="40" count="41">
        <n v="16"/>
        <n v="27"/>
        <n v="11"/>
        <n v="22"/>
        <n v="3"/>
        <n v="23"/>
        <n v="13"/>
        <n v="18"/>
        <n v="35"/>
        <n v="12"/>
        <n v="28"/>
        <n v="33"/>
        <n v="40"/>
        <n v="19"/>
        <n v="25"/>
        <n v="20"/>
        <n v="14"/>
        <n v="21"/>
        <n v="6"/>
        <n v="15"/>
        <n v="31"/>
        <n v="37"/>
        <n v="26"/>
        <n v="7"/>
        <n v="30"/>
        <n v="36"/>
        <n v="29"/>
        <n v="2"/>
        <n v="17"/>
        <n v="4"/>
        <n v="8"/>
        <n v="24"/>
        <n v="5"/>
        <n v="32"/>
        <n v="10"/>
        <n v="38"/>
        <n v="34"/>
        <n v="1"/>
        <n v="39"/>
        <n v="9"/>
        <m/>
      </sharedItems>
    </cacheField>
    <cacheField name="merchant name" numFmtId="0">
      <sharedItems containsBlank="1" count="41">
        <s v="Merchant_016"/>
        <s v="Merchant_027"/>
        <s v="Merchant_011"/>
        <s v="Merchant_022"/>
        <s v="Merchant_003"/>
        <s v="Merchant_023"/>
        <s v="Merchant_013"/>
        <s v="Merchant_018"/>
        <s v="Merchant_035"/>
        <s v="Merchant_012"/>
        <s v="Merchant_028"/>
        <s v="Merchant_033"/>
        <s v="Merchant_040"/>
        <s v="Merchant_019"/>
        <s v="Merchant_025"/>
        <s v="Merchant_020"/>
        <s v="Merchant_014"/>
        <s v="Merchant_021"/>
        <s v="Merchant_006"/>
        <s v="Merchant_015"/>
        <s v="Merchant_031"/>
        <s v="Merchant_037"/>
        <s v="Merchant_026"/>
        <s v="Merchant_007"/>
        <s v="Merchant_030"/>
        <s v="Merchant_036"/>
        <s v="Merchant_029"/>
        <s v="Merchant_002"/>
        <s v="Merchant_017"/>
        <s v="Merchant_004"/>
        <s v="Merchant_008"/>
        <s v="Merchant_024"/>
        <s v="Merchant_005"/>
        <s v="Merchant_032"/>
        <s v="Merchant_010"/>
        <s v="Merchant_038"/>
        <s v="Merchant_034"/>
        <s v="Merchant_001"/>
        <s v="Merchant_039"/>
        <s v="Merchant_009"/>
        <m/>
      </sharedItems>
    </cacheField>
    <cacheField name="category" numFmtId="0">
      <sharedItems containsBlank="1" count="8">
        <s v="bill_payment"/>
        <s v="ecommerce"/>
        <s v="travel"/>
        <s v="grocery"/>
        <s v="recharge"/>
        <s v="entertainment"/>
        <s v="food_delivery"/>
        <m/>
      </sharedItems>
    </cacheField>
    <cacheField name="region" numFmtId="0">
      <sharedItems containsBlank="1" count="5">
        <s v="West"/>
        <s v="North"/>
        <s v="South"/>
        <s v="East"/>
        <m/>
      </sharedItems>
    </cacheField>
    <cacheField name="transaction_time" numFmtId="0">
      <sharedItems containsString="0" containsBlank="1" containsNonDate="0" containsDate="1" minDate="2026-01-01T02:14:00" maxDate="2026-01-30T23:17:00" count="543">
        <d v="2026-01-29T11:13:00"/>
        <d v="2026-01-04T11:49:00"/>
        <d v="2026-01-24T04:59:00"/>
        <d v="2026-01-29T13:01:00"/>
        <d v="2026-01-30T13:51:00"/>
        <d v="2026-01-06T22:06:00"/>
        <d v="2026-01-08T06:52:00"/>
        <d v="2026-01-27T07:14:00"/>
        <d v="2026-01-11T08:55:00"/>
        <d v="2026-01-21T16:25:00"/>
        <d v="2026-01-01T03:56:00"/>
        <d v="2026-01-09T01:06:00"/>
        <d v="2026-01-24T10:27:00"/>
        <d v="2026-01-13T18:12:00"/>
        <d v="2026-01-14T00:33:00"/>
        <d v="2026-01-14T02:42:00"/>
        <d v="2026-01-22T03:46:00"/>
        <d v="2026-01-22T13:20:00"/>
        <d v="2026-01-05T06:26:00"/>
        <d v="2026-01-24T05:39:00"/>
        <d v="2026-01-18T00:19:00"/>
        <d v="2026-01-26T18:38:00"/>
        <d v="2026-01-15T14:43:00"/>
        <d v="2026-01-26T23:10:00"/>
        <d v="2026-01-17T21:40:00"/>
        <d v="2026-01-27T07:43:00"/>
        <d v="2026-01-05T00:02:00"/>
        <d v="2026-01-28T02:29:00"/>
        <d v="2026-01-23T22:24:00"/>
        <d v="2026-01-05T20:44:00"/>
        <d v="2026-01-14T07:11:00"/>
        <d v="2026-01-18T07:58:00"/>
        <d v="2026-01-26T14:42:00"/>
        <d v="2026-01-11T14:39:00"/>
        <d v="2026-01-15T05:47:00"/>
        <d v="2026-01-25T07:53:00"/>
        <d v="2026-01-25T16:31:00"/>
        <d v="2026-01-15T02:45:00"/>
        <d v="2026-01-11T10:57:00"/>
        <d v="2026-01-05T07:24:00"/>
        <d v="2026-01-14T13:21:00"/>
        <d v="2026-01-02T06:53:00"/>
        <d v="2026-01-19T22:01:00"/>
        <d v="2026-01-01T11:19:00"/>
        <d v="2026-01-24T23:34:00"/>
        <d v="2026-01-08T08:27:00"/>
        <d v="2026-01-11T21:43:00"/>
        <d v="2026-01-30T04:39:00"/>
        <d v="2026-01-19T18:42:00"/>
        <d v="2026-01-14T04:55:00"/>
        <d v="2026-01-09T12:20:00"/>
        <d v="2026-01-11T12:17:00"/>
        <d v="2026-01-16T00:47:00"/>
        <d v="2026-01-08T20:04:00"/>
        <d v="2026-01-01T07:12:00"/>
        <d v="2026-01-08T04:30:00"/>
        <d v="2026-01-07T14:44:00"/>
        <d v="2026-01-20T19:47:00"/>
        <d v="2026-01-04T18:01:00"/>
        <d v="2026-01-30T12:25:00"/>
        <d v="2026-01-23T20:15:00"/>
        <d v="2026-01-20T03:50:00"/>
        <d v="2026-01-18T13:42:00"/>
        <d v="2026-01-21T10:00:00"/>
        <d v="2026-01-14T11:40:00"/>
        <d v="2026-01-06T23:33:00"/>
        <d v="2026-01-26T17:49:00"/>
        <d v="2026-01-27T23:37:00"/>
        <d v="2026-01-27T02:17:00"/>
        <d v="2026-01-15T18:39:00"/>
        <d v="2026-01-01T15:54:00"/>
        <d v="2026-01-07T11:51:00"/>
        <d v="2026-01-29T19:44:00"/>
        <d v="2026-01-17T06:05:00"/>
        <d v="2026-01-18T07:44:00"/>
        <d v="2026-01-26T00:05:00"/>
        <d v="2026-01-23T07:19:00"/>
        <d v="2026-01-16T17:33:00"/>
        <d v="2026-01-18T10:22:00"/>
        <d v="2026-01-09T07:07:00"/>
        <d v="2026-01-24T17:48:00"/>
        <d v="2026-01-24T15:17:00"/>
        <d v="2026-01-10T03:53:00"/>
        <d v="2026-01-12T05:19:00"/>
        <d v="2026-01-09T01:03:00"/>
        <d v="2026-01-05T20:55:00"/>
        <d v="2026-01-19T09:30:00"/>
        <d v="2026-01-06T01:16:00"/>
        <d v="2026-01-13T15:04:00"/>
        <d v="2026-01-05T18:19:00"/>
        <d v="2026-01-18T13:38:00"/>
        <d v="2026-01-25T16:24:00"/>
        <d v="2026-01-28T18:27:00"/>
        <d v="2026-01-02T19:47:00"/>
        <d v="2026-01-07T08:42:00"/>
        <d v="2026-01-06T17:04:00"/>
        <d v="2026-01-15T22:38:00"/>
        <d v="2026-01-08T09:45:00"/>
        <d v="2026-01-22T07:59:00"/>
        <d v="2026-01-26T06:27:00"/>
        <d v="2026-01-21T04:58:00"/>
        <d v="2026-01-02T05:50:00"/>
        <d v="2026-01-27T18:58:00"/>
        <d v="2026-01-15T22:19:00"/>
        <d v="2026-01-18T15:28:00"/>
        <d v="2026-01-29T13:47:00"/>
        <d v="2026-01-01T02:14:00"/>
        <d v="2026-01-01T21:52:00"/>
        <d v="2026-01-25T05:30:00"/>
        <d v="2026-01-06T18:27:00"/>
        <d v="2026-01-16T11:26:00"/>
        <d v="2026-01-04T05:21:00"/>
        <d v="2026-01-22T12:52:00"/>
        <d v="2026-01-03T10:16:00"/>
        <d v="2026-01-13T16:52:00"/>
        <d v="2026-01-14T01:12:00"/>
        <d v="2026-01-25T15:40:00"/>
        <d v="2026-01-09T17:08:00"/>
        <d v="2026-01-16T03:01:00"/>
        <d v="2026-01-23T05:19:00"/>
        <d v="2026-01-14T02:14:00"/>
        <d v="2026-01-21T04:31:00"/>
        <d v="2026-01-09T13:53:00"/>
        <d v="2026-01-15T17:09:00"/>
        <d v="2026-01-17T23:56:00"/>
        <d v="2026-01-25T13:21:00"/>
        <d v="2026-01-10T23:19:00"/>
        <d v="2026-01-16T04:28:00"/>
        <d v="2026-01-11T17:48:00"/>
        <d v="2026-01-30T10:55:00"/>
        <d v="2026-01-13T07:54:00"/>
        <d v="2026-01-24T15:45:00"/>
        <d v="2026-01-26T20:09:00"/>
        <d v="2026-01-17T18:21:00"/>
        <d v="2026-01-17T14:00:00"/>
        <d v="2026-01-05T02:30:00"/>
        <d v="2026-01-23T12:41:00"/>
        <d v="2026-01-28T17:24:00"/>
        <d v="2026-01-02T19:04:00"/>
        <d v="2026-01-24T02:27:00"/>
        <d v="2026-01-06T22:19:00"/>
        <d v="2026-01-26T01:18:00"/>
        <d v="2026-01-05T07:33:00"/>
        <d v="2026-01-26T05:10:00"/>
        <d v="2026-01-28T12:39:00"/>
        <d v="2026-01-30T18:09:00"/>
        <d v="2026-01-09T14:16:00"/>
        <d v="2026-01-29T09:43:00"/>
        <d v="2026-01-15T11:37:00"/>
        <d v="2026-01-09T14:54:00"/>
        <d v="2026-01-28T15:06:00"/>
        <d v="2026-01-12T18:18:00"/>
        <d v="2026-01-13T08:00:00"/>
        <d v="2026-01-24T15:53:00"/>
        <d v="2026-01-26T11:14:00"/>
        <d v="2026-01-09T21:48:00"/>
        <d v="2026-01-04T20:41:00"/>
        <d v="2026-01-15T01:37:00"/>
        <d v="2026-01-30T09:20:00"/>
        <d v="2026-01-05T17:56:00"/>
        <d v="2026-01-30T08:53:00"/>
        <d v="2026-01-26T09:47:00"/>
        <d v="2026-01-03T04:48:00"/>
        <d v="2026-01-12T02:50:00"/>
        <d v="2026-01-18T03:29:00"/>
        <d v="2026-01-13T20:23:00"/>
        <d v="2026-01-01T19:56:00"/>
        <d v="2026-01-10T20:26:00"/>
        <d v="2026-01-02T09:31:00"/>
        <d v="2026-01-29T17:08:00"/>
        <d v="2026-01-22T23:44:00"/>
        <d v="2026-01-24T23:09:00"/>
        <d v="2026-01-20T13:17:00"/>
        <d v="2026-01-15T14:15:00"/>
        <d v="2026-01-12T17:57:00"/>
        <d v="2026-01-13T08:12:00"/>
        <d v="2026-01-22T06:41:00"/>
        <d v="2026-01-02T10:15:00"/>
        <d v="2026-01-03T17:13:00"/>
        <d v="2026-01-11T04:50:00"/>
        <d v="2026-01-28T04:08:00"/>
        <d v="2026-01-04T21:55:00"/>
        <d v="2026-01-12T07:37:00"/>
        <d v="2026-01-09T01:08:00"/>
        <d v="2026-01-24T02:30:00"/>
        <d v="2026-01-19T03:28:00"/>
        <d v="2026-01-02T23:50:00"/>
        <d v="2026-01-15T20:01:00"/>
        <d v="2026-01-14T21:06:00"/>
        <d v="2026-01-29T02:20:00"/>
        <d v="2026-01-05T08:39:00"/>
        <d v="2026-01-23T10:24:00"/>
        <d v="2026-01-15T16:38:00"/>
        <d v="2026-01-15T07:26:00"/>
        <d v="2026-01-14T23:06:00"/>
        <d v="2026-01-22T08:23:00"/>
        <d v="2026-01-03T02:05:00"/>
        <d v="2026-01-24T11:51:00"/>
        <d v="2026-01-19T17:35:00"/>
        <d v="2026-01-12T21:48:00"/>
        <d v="2026-01-20T09:22:00"/>
        <d v="2026-01-07T04:42:00"/>
        <d v="2026-01-12T17:23:00"/>
        <d v="2026-01-08T13:54:00"/>
        <d v="2026-01-22T20:35:00"/>
        <d v="2026-01-27T22:17:00"/>
        <d v="2026-01-23T09:58:00"/>
        <d v="2026-01-06T04:36:00"/>
        <d v="2026-01-05T23:40:00"/>
        <d v="2026-01-17T06:24:00"/>
        <d v="2026-01-06T11:19:00"/>
        <d v="2026-01-03T01:09:00"/>
        <d v="2026-01-22T02:17:00"/>
        <d v="2026-01-20T14:26:00"/>
        <d v="2026-01-17T03:22:00"/>
        <d v="2026-01-22T21:37:00"/>
        <d v="2026-01-10T01:14:00"/>
        <d v="2026-01-01T06:19:00"/>
        <d v="2026-01-09T09:20:00"/>
        <d v="2026-01-24T13:11:00"/>
        <d v="2026-01-23T07:32:00"/>
        <d v="2026-01-13T23:02:00"/>
        <d v="2026-01-30T02:55:00"/>
        <d v="2026-01-19T12:45:00"/>
        <d v="2026-01-04T12:01:00"/>
        <d v="2026-01-15T22:58:00"/>
        <d v="2026-01-28T03:15:00"/>
        <d v="2026-01-17T02:25:00"/>
        <d v="2026-01-11T05:04:00"/>
        <d v="2026-01-17T06:57:00"/>
        <d v="2026-01-27T20:52:00"/>
        <d v="2026-01-05T08:12:00"/>
        <d v="2026-01-25T20:04:00"/>
        <d v="2026-01-25T18:48:00"/>
        <d v="2026-01-30T18:41:00"/>
        <d v="2026-01-28T20:20:00"/>
        <d v="2026-01-16T14:40:00"/>
        <d v="2026-01-02T11:32:00"/>
        <d v="2026-01-15T01:03:00"/>
        <d v="2026-01-21T02:39:00"/>
        <d v="2026-01-15T18:35:00"/>
        <d v="2026-01-21T06:20:00"/>
        <d v="2026-01-05T01:28:00"/>
        <d v="2026-01-03T16:41:00"/>
        <d v="2026-01-23T14:28:00"/>
        <d v="2026-01-06T11:23:00"/>
        <d v="2026-01-25T10:43:00"/>
        <d v="2026-01-21T10:04:00"/>
        <d v="2026-01-22T12:18:00"/>
        <d v="2026-01-11T02:37:00"/>
        <d v="2026-01-10T20:44:00"/>
        <d v="2026-01-20T22:05:00"/>
        <d v="2026-01-21T10:52:00"/>
        <d v="2026-01-21T21:27:00"/>
        <d v="2026-01-12T09:11:00"/>
        <d v="2026-01-16T06:14:00"/>
        <d v="2026-01-10T03:32:00"/>
        <d v="2026-01-22T10:56:00"/>
        <d v="2026-01-13T04:10:00"/>
        <d v="2026-01-24T14:02:00"/>
        <d v="2026-01-24T07:28:00"/>
        <d v="2026-01-24T14:14:00"/>
        <d v="2026-01-26T15:57:00"/>
        <d v="2026-01-19T14:29:00"/>
        <d v="2026-01-17T13:10:00"/>
        <d v="2026-01-28T08:03:00"/>
        <d v="2026-01-18T03:45:00"/>
        <d v="2026-01-03T05:17:00"/>
        <d v="2026-01-27T13:05:00"/>
        <d v="2026-01-30T00:26:00"/>
        <d v="2026-01-12T07:24:00"/>
        <d v="2026-01-01T10:59:00"/>
        <d v="2026-01-05T01:18:00"/>
        <d v="2026-01-23T15:28:00"/>
        <d v="2026-01-01T08:13:00"/>
        <d v="2026-01-20T16:27:00"/>
        <d v="2026-01-10T03:03:00"/>
        <d v="2026-01-26T19:29:00"/>
        <d v="2026-01-20T17:01:00"/>
        <d v="2026-01-08T22:09:00"/>
        <d v="2026-01-20T11:15:00"/>
        <d v="2026-01-22T21:05:00"/>
        <d v="2026-01-17T17:32:00"/>
        <d v="2026-01-13T15:02:00"/>
        <d v="2026-01-09T23:01:00"/>
        <d v="2026-01-08T23:42:00"/>
        <d v="2026-01-19T23:48:00"/>
        <d v="2026-01-12T17:21:00"/>
        <d v="2026-01-22T14:44:00"/>
        <d v="2026-01-03T22:49:00"/>
        <d v="2026-01-07T01:50:00"/>
        <d v="2026-01-30T09:32:00"/>
        <d v="2026-01-09T01:48:00"/>
        <d v="2026-01-12T01:55:00"/>
        <d v="2026-01-04T11:27:00"/>
        <d v="2026-01-11T05:31:00"/>
        <d v="2026-01-09T02:46:00"/>
        <d v="2026-01-20T05:34:00"/>
        <d v="2026-01-03T10:42:00"/>
        <d v="2026-01-20T22:27:00"/>
        <d v="2026-01-15T01:46:00"/>
        <d v="2026-01-09T20:50:00"/>
        <d v="2026-01-21T12:23:00"/>
        <d v="2026-01-05T19:43:00"/>
        <d v="2026-01-03T07:49:00"/>
        <d v="2026-01-13T18:02:00"/>
        <d v="2026-01-15T11:23:00"/>
        <d v="2026-01-05T16:23:00"/>
        <d v="2026-01-17T12:58:00"/>
        <d v="2026-01-25T08:45:00"/>
        <d v="2026-01-10T22:58:00"/>
        <d v="2026-01-05T02:28:00"/>
        <d v="2026-01-26T21:54:00"/>
        <d v="2026-01-03T17:34:00"/>
        <d v="2026-01-23T22:59:00"/>
        <d v="2026-01-17T07:07:00"/>
        <d v="2026-01-26T15:01:00"/>
        <d v="2026-01-12T14:51:00"/>
        <d v="2026-01-29T02:04:00"/>
        <d v="2026-01-24T15:33:00"/>
        <d v="2026-01-03T04:20:00"/>
        <d v="2026-01-15T21:33:00"/>
        <d v="2026-01-18T20:37:00"/>
        <d v="2026-01-17T01:53:00"/>
        <d v="2026-01-10T05:10:00"/>
        <d v="2026-01-17T09:54:00"/>
        <d v="2026-01-21T17:17:00"/>
        <d v="2026-01-18T02:32:00"/>
        <d v="2026-01-19T04:10:00"/>
        <d v="2026-01-29T19:21:00"/>
        <d v="2026-01-03T01:41:00"/>
        <d v="2026-01-07T18:26:00"/>
        <d v="2026-01-29T20:34:00"/>
        <d v="2026-01-08T21:25:00"/>
        <d v="2026-01-23T01:10:00"/>
        <d v="2026-01-15T06:21:00"/>
        <d v="2026-01-28T22:20:00"/>
        <d v="2026-01-25T11:32:00"/>
        <d v="2026-01-08T14:07:00"/>
        <d v="2026-01-05T03:03:00"/>
        <d v="2026-01-14T07:55:00"/>
        <d v="2026-01-24T10:12:00"/>
        <d v="2026-01-15T15:56:00"/>
        <d v="2026-01-03T12:32:00"/>
        <d v="2026-01-19T11:03:00"/>
        <d v="2026-01-20T20:43:00"/>
        <d v="2026-01-01T03:27:00"/>
        <d v="2026-01-12T12:23:00"/>
        <d v="2026-01-19T17:12:00"/>
        <d v="2026-01-27T19:43:00"/>
        <d v="2026-01-04T12:23:00"/>
        <d v="2026-01-25T04:12:00"/>
        <d v="2026-01-17T01:02:00"/>
        <d v="2026-01-11T15:33:00"/>
        <d v="2026-01-29T16:08:00"/>
        <d v="2026-01-06T12:39:00"/>
        <d v="2026-01-17T16:34:00"/>
        <d v="2026-01-16T00:23:00"/>
        <d v="2026-01-19T09:50:00"/>
        <d v="2026-01-16T08:41:00"/>
        <d v="2026-01-24T01:37:00"/>
        <d v="2026-01-21T23:39:00"/>
        <d v="2026-01-08T01:36:00"/>
        <d v="2026-01-15T10:26:00"/>
        <d v="2026-01-07T13:32:00"/>
        <d v="2026-01-24T01:45:00"/>
        <d v="2026-01-18T10:42:00"/>
        <d v="2026-01-11T05:29:00"/>
        <d v="2026-01-12T21:49:00"/>
        <d v="2026-01-16T06:15:00"/>
        <d v="2026-01-08T09:49:00"/>
        <d v="2026-01-23T15:20:00"/>
        <d v="2026-01-30T23:17:00"/>
        <d v="2026-01-22T17:24:00"/>
        <d v="2026-01-26T04:18:00"/>
        <d v="2026-01-03T11:59:00"/>
        <d v="2026-01-16T06:12:00"/>
        <d v="2026-01-23T08:08:00"/>
        <d v="2026-01-19T07:15:00"/>
        <d v="2026-01-21T07:03:00"/>
        <d v="2026-01-23T15:06:00"/>
        <d v="2026-01-18T05:26:00"/>
        <d v="2026-01-21T06:48:00"/>
        <d v="2026-01-21T01:58:00"/>
        <d v="2026-01-18T23:46:00"/>
        <d v="2026-01-29T05:59:00"/>
        <d v="2026-01-16T05:59:00"/>
        <d v="2026-01-10T18:38:00"/>
        <d v="2026-01-15T20:34:00"/>
        <d v="2026-01-28T16:29:00"/>
        <d v="2026-01-11T05:46:00"/>
        <d v="2026-01-06T00:47:00"/>
        <d v="2026-01-22T06:11:00"/>
        <d v="2026-01-17T10:05:00"/>
        <d v="2026-01-05T15:20:00"/>
        <d v="2026-01-13T07:28:00"/>
        <d v="2026-01-19T23:36:00"/>
        <d v="2026-01-12T22:15:00"/>
        <d v="2026-01-10T05:25:00"/>
        <d v="2026-01-04T20:58:00"/>
        <d v="2026-01-08T07:08:00"/>
        <d v="2026-01-24T19:23:00"/>
        <d v="2026-01-25T17:51:00"/>
        <d v="2026-01-08T21:48:00"/>
        <d v="2026-01-15T16:45:00"/>
        <d v="2026-01-04T01:53:00"/>
        <d v="2026-01-19T17:09:00"/>
        <d v="2026-01-15T03:43:00"/>
        <d v="2026-01-03T16:28:00"/>
        <d v="2026-01-17T13:29:00"/>
        <d v="2026-01-15T21:51:00"/>
        <d v="2026-01-09T00:47:00"/>
        <d v="2026-01-02T13:22:00"/>
        <d v="2026-01-30T02:59:00"/>
        <d v="2026-01-14T05:49:00"/>
        <d v="2026-01-29T12:28:00"/>
        <d v="2026-01-22T21:55:00"/>
        <d v="2026-01-28T11:07:00"/>
        <d v="2026-01-17T04:46:00"/>
        <d v="2026-01-01T09:29:00"/>
        <d v="2026-01-18T12:52:00"/>
        <d v="2026-01-12T04:17:00"/>
        <d v="2026-01-26T21:26:00"/>
        <d v="2026-01-07T02:06:00"/>
        <d v="2026-01-20T21:45:00"/>
        <d v="2026-01-02T12:28:00"/>
        <d v="2026-01-25T01:08:00"/>
        <d v="2026-01-27T23:36:00"/>
        <d v="2026-01-25T21:52:00"/>
        <d v="2026-01-29T04:42:00"/>
        <d v="2026-01-10T08:03:00"/>
        <d v="2026-01-30T05:40:00"/>
        <d v="2026-01-16T01:22:00"/>
        <d v="2026-01-17T10:44:00"/>
        <d v="2026-01-10T12:11:00"/>
        <d v="2026-01-28T07:19:00"/>
        <d v="2026-01-18T13:26:00"/>
        <d v="2026-01-13T07:16:00"/>
        <d v="2026-01-03T14:54:00"/>
        <d v="2026-01-24T06:03:00"/>
        <d v="2026-01-20T19:02:00"/>
        <d v="2026-01-19T23:42:00"/>
        <d v="2026-01-07T10:19:00"/>
        <d v="2026-01-24T03:47:00"/>
        <d v="2026-01-20T22:13:00"/>
        <d v="2026-01-11T09:24:00"/>
        <d v="2026-01-12T09:16:00"/>
        <d v="2026-01-15T03:51:00"/>
        <d v="2026-01-12T10:26:00"/>
        <d v="2026-01-24T04:01:00"/>
        <d v="2026-01-19T23:26:00"/>
        <d v="2026-01-11T07:24:00"/>
        <d v="2026-01-18T20:43:00"/>
        <d v="2026-01-27T15:46:00"/>
        <d v="2026-01-06T23:50:00"/>
        <d v="2026-01-24T17:31:00"/>
        <d v="2026-01-02T16:02:00"/>
        <d v="2026-01-01T13:08:00"/>
        <d v="2026-01-23T04:00:00"/>
        <d v="2026-01-12T01:39:00"/>
        <d v="2026-01-22T15:01:00"/>
        <d v="2026-01-14T00:01:00"/>
        <d v="2026-01-10T00:32:00"/>
        <d v="2026-01-04T03:33:00"/>
        <d v="2026-01-20T16:16:00"/>
        <d v="2026-01-03T11:25:00"/>
        <d v="2026-01-13T12:24:00"/>
        <d v="2026-01-21T00:44:00"/>
        <d v="2026-01-28T13:41:00"/>
        <d v="2026-01-29T16:58:00"/>
        <d v="2026-01-29T22:56:00"/>
        <d v="2026-01-02T02:43:00"/>
        <d v="2026-01-22T01:11:00"/>
        <d v="2026-01-19T04:48:00"/>
        <d v="2026-01-06T18:15:00"/>
        <d v="2026-01-29T17:21:00"/>
        <d v="2026-01-24T02:32:00"/>
        <d v="2026-01-14T07:53:00"/>
        <d v="2026-01-25T19:38:00"/>
        <d v="2026-01-21T08:50:00"/>
        <d v="2026-01-12T17:24:00"/>
        <d v="2026-01-19T21:24:00"/>
        <d v="2026-01-26T07:45:00"/>
        <d v="2026-01-05T12:45:00"/>
        <d v="2026-01-13T10:23:00"/>
        <d v="2026-01-10T14:23:00"/>
        <d v="2026-01-03T05:27:00"/>
        <d v="2026-01-17T13:06:00"/>
        <d v="2026-01-18T02:38:00"/>
        <d v="2026-01-01T09:26:00"/>
        <d v="2026-01-29T17:57:00"/>
        <d v="2026-01-06T21:24:00"/>
        <d v="2026-01-10T08:31:00"/>
        <d v="2026-01-14T08:26:00"/>
        <d v="2026-01-03T11:16:00"/>
        <d v="2026-01-30T06:00:00"/>
        <d v="2026-01-11T12:00:00"/>
        <d v="2026-01-21T14:00:00"/>
        <d v="2026-01-21T19:00:00"/>
        <d v="2026-01-16T12:00:00"/>
        <d v="2026-01-29T07:00:00"/>
        <d v="2026-01-23T11:00:00"/>
        <d v="2026-01-28T05:00:00"/>
        <d v="2026-01-25T22:00:00"/>
        <d v="2026-01-13T13:00:00"/>
        <d v="2026-01-20T07:00:00"/>
        <d v="2026-01-23T02:00:00"/>
        <d v="2026-01-23T17:00:00"/>
        <d v="2026-01-22T22:00:00"/>
        <d v="2026-01-18T21:00:00"/>
        <d v="2026-01-02T18:00:00"/>
        <d v="2026-01-02T18:01:00"/>
        <d v="2026-01-02T18:02:00"/>
        <d v="2026-01-02T18:03:00"/>
        <d v="2026-01-12T12:00:00"/>
        <d v="2026-01-12T12:01:00"/>
        <d v="2026-01-12T12:02:00"/>
        <d v="2026-01-12T12:03:00"/>
        <d v="2026-01-12T09:00:00"/>
        <d v="2026-01-12T09:01:00"/>
        <d v="2026-01-12T09:02:00"/>
        <d v="2026-01-12T09:03:00"/>
        <d v="2026-01-02T22:00:00"/>
        <d v="2026-01-02T22:01:00"/>
        <d v="2026-01-02T22:02:00"/>
        <d v="2026-01-02T22:03:00"/>
        <d v="2026-01-14T14:00:00"/>
        <d v="2026-01-14T14:01:00"/>
        <d v="2026-01-14T14:02:00"/>
        <d v="2026-01-14T14:03:00"/>
        <d v="2026-01-01T22:00:00"/>
        <d v="2026-01-01T22:01:00"/>
        <d v="2026-01-01T22:02:00"/>
        <d v="2026-01-01T22:03:00"/>
        <d v="2026-01-09T21:00:00"/>
        <d v="2026-01-09T21:01:00"/>
        <d v="2026-01-09T21:02:00"/>
        <d v="2026-01-09T21:03:00"/>
        <d v="2026-01-23T09:00:00"/>
        <d v="2026-01-23T09:01:00"/>
        <d v="2026-01-23T09:02:00"/>
        <d v="2026-01-23T09:03:00"/>
        <m/>
      </sharedItems>
      <fieldGroup base="6">
        <rangePr autoEnd="0" groupBy="days" startDate="2026-01-01T02:14:00" endDate="2026-01-31T23:17:00" groupInterval="1"/>
        <groupItems count="368">
          <s v="(blank)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31-01-2026"/>
        </groupItems>
      </fieldGroup>
    </cacheField>
    <cacheField name="amount_inr" numFmtId="0">
      <sharedItems containsString="0" containsBlank="1" containsNumber="1" containsInteger="1" minValue="49" maxValue="4999" count="13">
        <n v="2999"/>
        <n v="49"/>
        <n v="1499"/>
        <n v="99"/>
        <n v="799"/>
        <n v="299"/>
        <n v="499"/>
        <n v="149"/>
        <n v="4999"/>
        <n v="1999"/>
        <n v="999"/>
        <n v="399"/>
        <m/>
      </sharedItems>
    </cacheField>
    <cacheField name="payment_method" numFmtId="0">
      <sharedItems containsBlank="1" count="5">
        <s v="Wallet"/>
        <s v="UPI"/>
        <s v="Netbanking"/>
        <s v="Card"/>
        <m/>
      </sharedItems>
    </cacheField>
    <cacheField name="status" numFmtId="0">
      <sharedItems containsBlank="1" count="4">
        <s v="captured"/>
        <s v="failed"/>
        <s v="chargeback"/>
        <m/>
      </sharedItems>
    </cacheField>
    <cacheField name="risk_score" numFmtId="0">
      <sharedItems containsString="0" containsBlank="1" containsNumber="1" containsInteger="1" minValue="0" maxValue="100" count="102">
        <n v="85"/>
        <n v="79"/>
        <n v="22"/>
        <n v="100"/>
        <n v="34"/>
        <n v="60"/>
        <n v="39"/>
        <n v="51"/>
        <n v="44"/>
        <n v="42"/>
        <n v="74"/>
        <n v="14"/>
        <n v="90"/>
        <n v="46"/>
        <n v="40"/>
        <n v="70"/>
        <n v="86"/>
        <n v="55"/>
        <n v="59"/>
        <n v="36"/>
        <n v="11"/>
        <n v="25"/>
        <n v="78"/>
        <n v="24"/>
        <n v="31"/>
        <n v="99"/>
        <n v="6"/>
        <n v="17"/>
        <n v="76"/>
        <n v="33"/>
        <n v="98"/>
        <n v="35"/>
        <n v="8"/>
        <n v="53"/>
        <n v="61"/>
        <n v="68"/>
        <n v="62"/>
        <n v="49"/>
        <n v="50"/>
        <n v="82"/>
        <n v="41"/>
        <n v="10"/>
        <n v="96"/>
        <n v="19"/>
        <n v="72"/>
        <n v="21"/>
        <n v="75"/>
        <n v="87"/>
        <n v="64"/>
        <n v="13"/>
        <n v="43"/>
        <n v="1"/>
        <n v="57"/>
        <n v="47"/>
        <n v="95"/>
        <n v="15"/>
        <n v="27"/>
        <n v="29"/>
        <n v="16"/>
        <n v="89"/>
        <n v="28"/>
        <n v="38"/>
        <n v="80"/>
        <n v="30"/>
        <n v="52"/>
        <n v="4"/>
        <n v="9"/>
        <n v="84"/>
        <n v="5"/>
        <n v="32"/>
        <n v="58"/>
        <n v="26"/>
        <n v="0"/>
        <n v="73"/>
        <n v="12"/>
        <n v="83"/>
        <n v="69"/>
        <n v="56"/>
        <n v="63"/>
        <n v="81"/>
        <n v="88"/>
        <n v="77"/>
        <n v="71"/>
        <n v="7"/>
        <n v="2"/>
        <n v="65"/>
        <n v="37"/>
        <n v="97"/>
        <n v="54"/>
        <n v="67"/>
        <n v="93"/>
        <n v="91"/>
        <n v="48"/>
        <n v="18"/>
        <n v="23"/>
        <n v="66"/>
        <n v="3"/>
        <n v="20"/>
        <n v="92"/>
        <n v="94"/>
        <n v="45"/>
        <m/>
      </sharedItems>
    </cacheField>
    <cacheField name="MDR Fee %" numFmtId="0">
      <sharedItems containsString="0" containsBlank="1" containsNumber="1" minValue="0" maxValue="0.02" count="5">
        <n v="0.015"/>
        <n v="0"/>
        <n v="0.01"/>
        <n v="0.02"/>
        <m/>
      </sharedItems>
    </cacheField>
    <cacheField name="Date" numFmtId="0">
      <sharedItems containsString="0" containsBlank="1" containsNonDate="0" containsDate="1" minDate="2026-01-01T00:00:00" maxDate="2026-01-30T00:00:00" count="31">
        <d v="2026-01-29T00:00:00"/>
        <d v="2026-01-04T00:00:00"/>
        <d v="2026-01-24T00:00:00"/>
        <d v="2026-01-30T00:00:00"/>
        <d v="2026-01-06T00:00:00"/>
        <d v="2026-01-08T00:00:00"/>
        <d v="2026-01-27T00:00:00"/>
        <d v="2026-01-11T00:00:00"/>
        <d v="2026-01-21T00:00:00"/>
        <d v="2026-01-01T00:00:00"/>
        <d v="2026-01-09T00:00:00"/>
        <d v="2026-01-13T00:00:00"/>
        <d v="2026-01-14T00:00:00"/>
        <d v="2026-01-22T00:00:00"/>
        <d v="2026-01-05T00:00:00"/>
        <d v="2026-01-18T00:00:00"/>
        <d v="2026-01-26T00:00:00"/>
        <d v="2026-01-15T00:00:00"/>
        <d v="2026-01-17T00:00:00"/>
        <d v="2026-01-28T00:00:00"/>
        <d v="2026-01-23T00:00:00"/>
        <d v="2026-01-25T00:00:00"/>
        <d v="2026-01-02T00:00:00"/>
        <d v="2026-01-19T00:00:00"/>
        <d v="2026-01-16T00:00:00"/>
        <d v="2026-01-07T00:00:00"/>
        <d v="2026-01-20T00:00:00"/>
        <d v="2026-01-10T00:00:00"/>
        <d v="2026-01-12T00:00:00"/>
        <d v="2026-01-03T00:00:00"/>
        <m/>
      </sharedItems>
    </cacheField>
    <cacheField name="High_value Flag" numFmtId="0">
      <sharedItems containsBlank="1" count="3">
        <s v="Regular"/>
        <s v="High-Value Merchant Day"/>
        <m/>
      </sharedItems>
    </cacheField>
    <cacheField name=" " numFmtId="0">
      <sharedItems containsString="0" containsBlank="1" containsNonDate="0" count="1">
        <m/>
      </sharedItems>
    </cacheField>
    <cacheField name=" 2" numFmtId="0">
      <sharedItems containsString="0" containsBlank="1" containsNonDate="0" count="1">
        <m/>
      </sharedItems>
    </cacheField>
    <cacheField name=" 3" numFmtId="0">
      <sharedItems containsString="0" containsBlank="1" containsNonDate="0" count="1">
        <m/>
      </sharedItems>
    </cacheField>
    <cacheField name=" 4" numFmtId="0">
      <sharedItems containsString="0" containsBlank="1" containsNonDate="0" count="1">
        <m/>
      </sharedItems>
    </cacheField>
    <cacheField name=" 5" numFmtId="0">
      <sharedItems containsString="0" containsBlank="1" containsNonDate="0" count="1">
        <m/>
      </sharedItems>
    </cacheField>
    <cacheField name=" 6" numFmtId="0">
      <sharedItems containsString="0" containsBlank="1" containsNonDate="0" count="1">
        <m/>
      </sharedItems>
    </cacheField>
    <cacheField name=" 7" numFmtId="0">
      <sharedItems containsString="0" containsBlank="1" containsNonDate="0" count="1">
        <m/>
      </sharedItems>
    </cacheField>
    <cacheField name=" 8" numFmtId="0">
      <sharedItems containsString="0" containsBlank="1" containsNonDate="0" count="1">
        <m/>
      </sharedItems>
    </cacheField>
    <cacheField name=" 9" numFmtId="0">
      <sharedItems containsString="0" containsBlank="1" containsNonDate="0" count="1">
        <m/>
      </sharedItems>
    </cacheField>
    <cacheField name=" 10" numFmtId="0">
      <sharedItems containsString="0" containsBlank="1" containsNonDate="0" count="1">
        <m/>
      </sharedItems>
    </cacheField>
    <cacheField name=" 11" numFmtId="0">
      <sharedItems containsString="0" containsBlank="1" containsNonDate="0" count="1">
        <m/>
      </sharedItems>
    </cacheField>
    <cacheField name=" 12" numFmtId="0">
      <sharedItems containsString="0" containsBlank="1" containsNonDate="0" count="1">
        <m/>
      </sharedItems>
    </cacheField>
    <cacheField name=" 13" numFmtId="0">
      <sharedItems containsString="0" containsBlank="1" containsNonDate="0" count="1">
        <m/>
      </sharedItems>
    </cacheField>
    <cacheField name=" 14" numFmtId="0">
      <sharedItems containsString="0" containsBlank="1" containsNonDate="0" count="1">
        <m/>
      </sharedItems>
    </cacheField>
    <cacheField name=" 15" numFmtId="0">
      <sharedItems containsString="0" containsBlank="1" containsNonDate="0" count="1"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48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</r>
  <r>
    <x v="2"/>
    <x v="2"/>
    <x v="2"/>
    <x v="2"/>
    <x v="1"/>
    <x v="1"/>
    <x v="2"/>
    <x v="2"/>
    <x v="0"/>
    <x v="0"/>
    <x v="2"/>
    <x v="0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3"/>
    <x v="3"/>
    <x v="3"/>
    <x v="3"/>
    <x v="2"/>
    <x v="2"/>
    <x v="3"/>
    <x v="1"/>
    <x v="2"/>
    <x v="0"/>
    <x v="3"/>
    <x v="2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4"/>
    <x v="4"/>
    <x v="0"/>
    <x v="0"/>
    <x v="0"/>
    <x v="0"/>
    <x v="4"/>
    <x v="3"/>
    <x v="1"/>
    <x v="0"/>
    <x v="4"/>
    <x v="1"/>
    <x v="3"/>
    <x v="0"/>
    <x v="0"/>
    <x v="0"/>
    <x v="0"/>
    <x v="0"/>
    <x v="0"/>
    <x v="0"/>
    <x v="0"/>
    <x v="0"/>
    <x v="0"/>
    <x v="0"/>
    <x v="0"/>
    <x v="0"/>
    <x v="0"/>
    <x v="0"/>
    <x v="0"/>
  </r>
  <r>
    <x v="5"/>
    <x v="5"/>
    <x v="4"/>
    <x v="4"/>
    <x v="3"/>
    <x v="3"/>
    <x v="5"/>
    <x v="3"/>
    <x v="1"/>
    <x v="0"/>
    <x v="5"/>
    <x v="1"/>
    <x v="4"/>
    <x v="0"/>
    <x v="0"/>
    <x v="0"/>
    <x v="0"/>
    <x v="0"/>
    <x v="0"/>
    <x v="0"/>
    <x v="0"/>
    <x v="0"/>
    <x v="0"/>
    <x v="0"/>
    <x v="0"/>
    <x v="0"/>
    <x v="0"/>
    <x v="0"/>
    <x v="0"/>
  </r>
  <r>
    <x v="6"/>
    <x v="6"/>
    <x v="5"/>
    <x v="5"/>
    <x v="2"/>
    <x v="1"/>
    <x v="6"/>
    <x v="3"/>
    <x v="0"/>
    <x v="0"/>
    <x v="6"/>
    <x v="0"/>
    <x v="5"/>
    <x v="0"/>
    <x v="0"/>
    <x v="0"/>
    <x v="0"/>
    <x v="0"/>
    <x v="0"/>
    <x v="0"/>
    <x v="0"/>
    <x v="0"/>
    <x v="0"/>
    <x v="0"/>
    <x v="0"/>
    <x v="0"/>
    <x v="0"/>
    <x v="0"/>
    <x v="0"/>
  </r>
  <r>
    <x v="7"/>
    <x v="7"/>
    <x v="6"/>
    <x v="6"/>
    <x v="2"/>
    <x v="3"/>
    <x v="7"/>
    <x v="3"/>
    <x v="1"/>
    <x v="0"/>
    <x v="7"/>
    <x v="1"/>
    <x v="6"/>
    <x v="0"/>
    <x v="0"/>
    <x v="0"/>
    <x v="0"/>
    <x v="0"/>
    <x v="0"/>
    <x v="0"/>
    <x v="0"/>
    <x v="0"/>
    <x v="0"/>
    <x v="0"/>
    <x v="0"/>
    <x v="0"/>
    <x v="0"/>
    <x v="0"/>
    <x v="0"/>
  </r>
  <r>
    <x v="8"/>
    <x v="8"/>
    <x v="7"/>
    <x v="7"/>
    <x v="3"/>
    <x v="0"/>
    <x v="8"/>
    <x v="4"/>
    <x v="1"/>
    <x v="0"/>
    <x v="8"/>
    <x v="1"/>
    <x v="7"/>
    <x v="0"/>
    <x v="0"/>
    <x v="0"/>
    <x v="0"/>
    <x v="0"/>
    <x v="0"/>
    <x v="0"/>
    <x v="0"/>
    <x v="0"/>
    <x v="0"/>
    <x v="0"/>
    <x v="0"/>
    <x v="0"/>
    <x v="0"/>
    <x v="0"/>
    <x v="0"/>
  </r>
  <r>
    <x v="9"/>
    <x v="9"/>
    <x v="8"/>
    <x v="8"/>
    <x v="4"/>
    <x v="3"/>
    <x v="9"/>
    <x v="5"/>
    <x v="1"/>
    <x v="0"/>
    <x v="9"/>
    <x v="1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10"/>
    <x v="10"/>
    <x v="9"/>
    <x v="9"/>
    <x v="1"/>
    <x v="3"/>
    <x v="10"/>
    <x v="1"/>
    <x v="1"/>
    <x v="0"/>
    <x v="10"/>
    <x v="1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11"/>
    <x v="11"/>
    <x v="10"/>
    <x v="10"/>
    <x v="1"/>
    <x v="2"/>
    <x v="11"/>
    <x v="0"/>
    <x v="3"/>
    <x v="1"/>
    <x v="8"/>
    <x v="3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12"/>
    <x v="12"/>
    <x v="11"/>
    <x v="11"/>
    <x v="0"/>
    <x v="3"/>
    <x v="12"/>
    <x v="1"/>
    <x v="0"/>
    <x v="0"/>
    <x v="11"/>
    <x v="0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13"/>
    <x v="13"/>
    <x v="4"/>
    <x v="4"/>
    <x v="3"/>
    <x v="3"/>
    <x v="13"/>
    <x v="1"/>
    <x v="1"/>
    <x v="0"/>
    <x v="12"/>
    <x v="1"/>
    <x v="11"/>
    <x v="0"/>
    <x v="0"/>
    <x v="0"/>
    <x v="0"/>
    <x v="0"/>
    <x v="0"/>
    <x v="0"/>
    <x v="0"/>
    <x v="0"/>
    <x v="0"/>
    <x v="0"/>
    <x v="0"/>
    <x v="0"/>
    <x v="0"/>
    <x v="0"/>
    <x v="0"/>
  </r>
  <r>
    <x v="14"/>
    <x v="14"/>
    <x v="6"/>
    <x v="6"/>
    <x v="2"/>
    <x v="3"/>
    <x v="14"/>
    <x v="2"/>
    <x v="1"/>
    <x v="0"/>
    <x v="13"/>
    <x v="1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15"/>
    <x v="15"/>
    <x v="12"/>
    <x v="12"/>
    <x v="5"/>
    <x v="2"/>
    <x v="15"/>
    <x v="3"/>
    <x v="1"/>
    <x v="0"/>
    <x v="14"/>
    <x v="1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16"/>
    <x v="16"/>
    <x v="11"/>
    <x v="11"/>
    <x v="0"/>
    <x v="3"/>
    <x v="16"/>
    <x v="3"/>
    <x v="2"/>
    <x v="0"/>
    <x v="6"/>
    <x v="2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17"/>
    <x v="17"/>
    <x v="13"/>
    <x v="13"/>
    <x v="3"/>
    <x v="1"/>
    <x v="17"/>
    <x v="0"/>
    <x v="3"/>
    <x v="0"/>
    <x v="15"/>
    <x v="3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18"/>
    <x v="18"/>
    <x v="14"/>
    <x v="14"/>
    <x v="2"/>
    <x v="2"/>
    <x v="18"/>
    <x v="0"/>
    <x v="1"/>
    <x v="0"/>
    <x v="16"/>
    <x v="1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19"/>
    <x v="19"/>
    <x v="15"/>
    <x v="15"/>
    <x v="6"/>
    <x v="3"/>
    <x v="19"/>
    <x v="1"/>
    <x v="1"/>
    <x v="0"/>
    <x v="7"/>
    <x v="1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20"/>
    <x v="20"/>
    <x v="16"/>
    <x v="16"/>
    <x v="3"/>
    <x v="3"/>
    <x v="20"/>
    <x v="3"/>
    <x v="3"/>
    <x v="0"/>
    <x v="17"/>
    <x v="3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21"/>
    <x v="21"/>
    <x v="17"/>
    <x v="17"/>
    <x v="6"/>
    <x v="3"/>
    <x v="21"/>
    <x v="3"/>
    <x v="1"/>
    <x v="0"/>
    <x v="18"/>
    <x v="1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22"/>
    <x v="22"/>
    <x v="11"/>
    <x v="11"/>
    <x v="0"/>
    <x v="3"/>
    <x v="22"/>
    <x v="4"/>
    <x v="1"/>
    <x v="0"/>
    <x v="5"/>
    <x v="1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23"/>
    <x v="23"/>
    <x v="18"/>
    <x v="18"/>
    <x v="6"/>
    <x v="2"/>
    <x v="23"/>
    <x v="4"/>
    <x v="1"/>
    <x v="2"/>
    <x v="19"/>
    <x v="1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24"/>
    <x v="24"/>
    <x v="3"/>
    <x v="3"/>
    <x v="2"/>
    <x v="2"/>
    <x v="24"/>
    <x v="4"/>
    <x v="0"/>
    <x v="0"/>
    <x v="20"/>
    <x v="0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25"/>
    <x v="25"/>
    <x v="19"/>
    <x v="19"/>
    <x v="2"/>
    <x v="1"/>
    <x v="25"/>
    <x v="4"/>
    <x v="1"/>
    <x v="0"/>
    <x v="21"/>
    <x v="1"/>
    <x v="6"/>
    <x v="0"/>
    <x v="0"/>
    <x v="0"/>
    <x v="0"/>
    <x v="0"/>
    <x v="0"/>
    <x v="0"/>
    <x v="0"/>
    <x v="0"/>
    <x v="0"/>
    <x v="0"/>
    <x v="0"/>
    <x v="0"/>
    <x v="0"/>
    <x v="0"/>
    <x v="0"/>
  </r>
  <r>
    <x v="26"/>
    <x v="26"/>
    <x v="20"/>
    <x v="20"/>
    <x v="0"/>
    <x v="3"/>
    <x v="26"/>
    <x v="1"/>
    <x v="3"/>
    <x v="0"/>
    <x v="22"/>
    <x v="3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27"/>
    <x v="27"/>
    <x v="21"/>
    <x v="21"/>
    <x v="5"/>
    <x v="2"/>
    <x v="27"/>
    <x v="3"/>
    <x v="1"/>
    <x v="0"/>
    <x v="23"/>
    <x v="1"/>
    <x v="19"/>
    <x v="0"/>
    <x v="0"/>
    <x v="0"/>
    <x v="0"/>
    <x v="0"/>
    <x v="0"/>
    <x v="0"/>
    <x v="0"/>
    <x v="0"/>
    <x v="0"/>
    <x v="0"/>
    <x v="0"/>
    <x v="0"/>
    <x v="0"/>
    <x v="0"/>
    <x v="0"/>
  </r>
  <r>
    <x v="28"/>
    <x v="28"/>
    <x v="22"/>
    <x v="22"/>
    <x v="6"/>
    <x v="3"/>
    <x v="28"/>
    <x v="3"/>
    <x v="0"/>
    <x v="0"/>
    <x v="24"/>
    <x v="0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29"/>
    <x v="29"/>
    <x v="23"/>
    <x v="23"/>
    <x v="6"/>
    <x v="3"/>
    <x v="29"/>
    <x v="2"/>
    <x v="1"/>
    <x v="0"/>
    <x v="25"/>
    <x v="1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30"/>
    <x v="30"/>
    <x v="24"/>
    <x v="24"/>
    <x v="2"/>
    <x v="0"/>
    <x v="30"/>
    <x v="6"/>
    <x v="3"/>
    <x v="0"/>
    <x v="26"/>
    <x v="3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31"/>
    <x v="31"/>
    <x v="24"/>
    <x v="24"/>
    <x v="2"/>
    <x v="0"/>
    <x v="31"/>
    <x v="4"/>
    <x v="1"/>
    <x v="0"/>
    <x v="27"/>
    <x v="1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32"/>
    <x v="32"/>
    <x v="25"/>
    <x v="25"/>
    <x v="5"/>
    <x v="3"/>
    <x v="32"/>
    <x v="7"/>
    <x v="1"/>
    <x v="0"/>
    <x v="28"/>
    <x v="1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33"/>
    <x v="33"/>
    <x v="10"/>
    <x v="10"/>
    <x v="1"/>
    <x v="2"/>
    <x v="33"/>
    <x v="1"/>
    <x v="0"/>
    <x v="0"/>
    <x v="15"/>
    <x v="0"/>
    <x v="7"/>
    <x v="0"/>
    <x v="0"/>
    <x v="0"/>
    <x v="0"/>
    <x v="0"/>
    <x v="0"/>
    <x v="0"/>
    <x v="0"/>
    <x v="0"/>
    <x v="0"/>
    <x v="0"/>
    <x v="0"/>
    <x v="0"/>
    <x v="0"/>
    <x v="0"/>
    <x v="0"/>
  </r>
  <r>
    <x v="34"/>
    <x v="34"/>
    <x v="26"/>
    <x v="26"/>
    <x v="1"/>
    <x v="1"/>
    <x v="34"/>
    <x v="5"/>
    <x v="2"/>
    <x v="0"/>
    <x v="29"/>
    <x v="2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35"/>
    <x v="35"/>
    <x v="7"/>
    <x v="7"/>
    <x v="3"/>
    <x v="0"/>
    <x v="35"/>
    <x v="7"/>
    <x v="3"/>
    <x v="0"/>
    <x v="30"/>
    <x v="3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36"/>
    <x v="36"/>
    <x v="0"/>
    <x v="0"/>
    <x v="0"/>
    <x v="0"/>
    <x v="36"/>
    <x v="1"/>
    <x v="1"/>
    <x v="0"/>
    <x v="31"/>
    <x v="1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37"/>
    <x v="20"/>
    <x v="0"/>
    <x v="0"/>
    <x v="0"/>
    <x v="0"/>
    <x v="37"/>
    <x v="0"/>
    <x v="3"/>
    <x v="0"/>
    <x v="4"/>
    <x v="3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38"/>
    <x v="37"/>
    <x v="18"/>
    <x v="18"/>
    <x v="6"/>
    <x v="2"/>
    <x v="38"/>
    <x v="2"/>
    <x v="3"/>
    <x v="0"/>
    <x v="27"/>
    <x v="3"/>
    <x v="7"/>
    <x v="0"/>
    <x v="0"/>
    <x v="0"/>
    <x v="0"/>
    <x v="0"/>
    <x v="0"/>
    <x v="0"/>
    <x v="0"/>
    <x v="0"/>
    <x v="0"/>
    <x v="0"/>
    <x v="0"/>
    <x v="0"/>
    <x v="0"/>
    <x v="0"/>
    <x v="0"/>
  </r>
  <r>
    <x v="39"/>
    <x v="38"/>
    <x v="16"/>
    <x v="16"/>
    <x v="3"/>
    <x v="3"/>
    <x v="39"/>
    <x v="2"/>
    <x v="1"/>
    <x v="0"/>
    <x v="32"/>
    <x v="1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40"/>
    <x v="39"/>
    <x v="24"/>
    <x v="24"/>
    <x v="2"/>
    <x v="0"/>
    <x v="40"/>
    <x v="2"/>
    <x v="1"/>
    <x v="0"/>
    <x v="33"/>
    <x v="1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41"/>
    <x v="40"/>
    <x v="14"/>
    <x v="14"/>
    <x v="2"/>
    <x v="2"/>
    <x v="41"/>
    <x v="3"/>
    <x v="1"/>
    <x v="0"/>
    <x v="30"/>
    <x v="1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42"/>
    <x v="41"/>
    <x v="14"/>
    <x v="14"/>
    <x v="2"/>
    <x v="2"/>
    <x v="42"/>
    <x v="2"/>
    <x v="1"/>
    <x v="0"/>
    <x v="34"/>
    <x v="1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43"/>
    <x v="42"/>
    <x v="1"/>
    <x v="1"/>
    <x v="1"/>
    <x v="1"/>
    <x v="43"/>
    <x v="7"/>
    <x v="1"/>
    <x v="0"/>
    <x v="35"/>
    <x v="1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44"/>
    <x v="43"/>
    <x v="19"/>
    <x v="19"/>
    <x v="2"/>
    <x v="1"/>
    <x v="44"/>
    <x v="3"/>
    <x v="2"/>
    <x v="0"/>
    <x v="36"/>
    <x v="2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45"/>
    <x v="44"/>
    <x v="27"/>
    <x v="27"/>
    <x v="3"/>
    <x v="0"/>
    <x v="45"/>
    <x v="5"/>
    <x v="0"/>
    <x v="0"/>
    <x v="37"/>
    <x v="0"/>
    <x v="5"/>
    <x v="0"/>
    <x v="0"/>
    <x v="0"/>
    <x v="0"/>
    <x v="0"/>
    <x v="0"/>
    <x v="0"/>
    <x v="0"/>
    <x v="0"/>
    <x v="0"/>
    <x v="0"/>
    <x v="0"/>
    <x v="0"/>
    <x v="0"/>
    <x v="0"/>
    <x v="0"/>
  </r>
  <r>
    <x v="46"/>
    <x v="45"/>
    <x v="2"/>
    <x v="2"/>
    <x v="1"/>
    <x v="1"/>
    <x v="46"/>
    <x v="8"/>
    <x v="2"/>
    <x v="0"/>
    <x v="18"/>
    <x v="2"/>
    <x v="7"/>
    <x v="0"/>
    <x v="0"/>
    <x v="0"/>
    <x v="0"/>
    <x v="0"/>
    <x v="0"/>
    <x v="0"/>
    <x v="0"/>
    <x v="0"/>
    <x v="0"/>
    <x v="0"/>
    <x v="0"/>
    <x v="0"/>
    <x v="0"/>
    <x v="0"/>
    <x v="0"/>
  </r>
  <r>
    <x v="47"/>
    <x v="46"/>
    <x v="27"/>
    <x v="27"/>
    <x v="3"/>
    <x v="0"/>
    <x v="47"/>
    <x v="5"/>
    <x v="1"/>
    <x v="0"/>
    <x v="38"/>
    <x v="1"/>
    <x v="3"/>
    <x v="0"/>
    <x v="0"/>
    <x v="0"/>
    <x v="0"/>
    <x v="0"/>
    <x v="0"/>
    <x v="0"/>
    <x v="0"/>
    <x v="0"/>
    <x v="0"/>
    <x v="0"/>
    <x v="0"/>
    <x v="0"/>
    <x v="0"/>
    <x v="0"/>
    <x v="0"/>
  </r>
  <r>
    <x v="48"/>
    <x v="47"/>
    <x v="18"/>
    <x v="18"/>
    <x v="6"/>
    <x v="2"/>
    <x v="48"/>
    <x v="1"/>
    <x v="0"/>
    <x v="0"/>
    <x v="39"/>
    <x v="0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49"/>
    <x v="48"/>
    <x v="9"/>
    <x v="9"/>
    <x v="1"/>
    <x v="3"/>
    <x v="49"/>
    <x v="1"/>
    <x v="1"/>
    <x v="0"/>
    <x v="26"/>
    <x v="1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50"/>
    <x v="49"/>
    <x v="24"/>
    <x v="24"/>
    <x v="2"/>
    <x v="0"/>
    <x v="50"/>
    <x v="3"/>
    <x v="1"/>
    <x v="0"/>
    <x v="40"/>
    <x v="1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51"/>
    <x v="40"/>
    <x v="28"/>
    <x v="28"/>
    <x v="3"/>
    <x v="1"/>
    <x v="51"/>
    <x v="8"/>
    <x v="1"/>
    <x v="0"/>
    <x v="41"/>
    <x v="1"/>
    <x v="7"/>
    <x v="1"/>
    <x v="0"/>
    <x v="0"/>
    <x v="0"/>
    <x v="0"/>
    <x v="0"/>
    <x v="0"/>
    <x v="0"/>
    <x v="0"/>
    <x v="0"/>
    <x v="0"/>
    <x v="0"/>
    <x v="0"/>
    <x v="0"/>
    <x v="0"/>
    <x v="0"/>
  </r>
  <r>
    <x v="52"/>
    <x v="37"/>
    <x v="29"/>
    <x v="29"/>
    <x v="1"/>
    <x v="3"/>
    <x v="52"/>
    <x v="4"/>
    <x v="1"/>
    <x v="0"/>
    <x v="8"/>
    <x v="1"/>
    <x v="24"/>
    <x v="0"/>
    <x v="0"/>
    <x v="0"/>
    <x v="0"/>
    <x v="0"/>
    <x v="0"/>
    <x v="0"/>
    <x v="0"/>
    <x v="0"/>
    <x v="0"/>
    <x v="0"/>
    <x v="0"/>
    <x v="0"/>
    <x v="0"/>
    <x v="0"/>
    <x v="0"/>
  </r>
  <r>
    <x v="53"/>
    <x v="50"/>
    <x v="4"/>
    <x v="4"/>
    <x v="3"/>
    <x v="3"/>
    <x v="53"/>
    <x v="7"/>
    <x v="0"/>
    <x v="0"/>
    <x v="42"/>
    <x v="0"/>
    <x v="5"/>
    <x v="0"/>
    <x v="0"/>
    <x v="0"/>
    <x v="0"/>
    <x v="0"/>
    <x v="0"/>
    <x v="0"/>
    <x v="0"/>
    <x v="0"/>
    <x v="0"/>
    <x v="0"/>
    <x v="0"/>
    <x v="0"/>
    <x v="0"/>
    <x v="0"/>
    <x v="0"/>
  </r>
  <r>
    <x v="54"/>
    <x v="51"/>
    <x v="12"/>
    <x v="12"/>
    <x v="5"/>
    <x v="2"/>
    <x v="54"/>
    <x v="5"/>
    <x v="1"/>
    <x v="0"/>
    <x v="43"/>
    <x v="1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55"/>
    <x v="4"/>
    <x v="30"/>
    <x v="30"/>
    <x v="6"/>
    <x v="1"/>
    <x v="55"/>
    <x v="3"/>
    <x v="1"/>
    <x v="0"/>
    <x v="44"/>
    <x v="1"/>
    <x v="5"/>
    <x v="0"/>
    <x v="0"/>
    <x v="0"/>
    <x v="0"/>
    <x v="0"/>
    <x v="0"/>
    <x v="0"/>
    <x v="0"/>
    <x v="0"/>
    <x v="0"/>
    <x v="0"/>
    <x v="0"/>
    <x v="0"/>
    <x v="0"/>
    <x v="0"/>
    <x v="0"/>
  </r>
  <r>
    <x v="56"/>
    <x v="52"/>
    <x v="31"/>
    <x v="31"/>
    <x v="3"/>
    <x v="1"/>
    <x v="56"/>
    <x v="5"/>
    <x v="0"/>
    <x v="0"/>
    <x v="45"/>
    <x v="0"/>
    <x v="25"/>
    <x v="0"/>
    <x v="0"/>
    <x v="0"/>
    <x v="0"/>
    <x v="0"/>
    <x v="0"/>
    <x v="0"/>
    <x v="0"/>
    <x v="0"/>
    <x v="0"/>
    <x v="0"/>
    <x v="0"/>
    <x v="0"/>
    <x v="0"/>
    <x v="0"/>
    <x v="0"/>
  </r>
  <r>
    <x v="57"/>
    <x v="53"/>
    <x v="2"/>
    <x v="2"/>
    <x v="1"/>
    <x v="1"/>
    <x v="57"/>
    <x v="5"/>
    <x v="1"/>
    <x v="0"/>
    <x v="6"/>
    <x v="1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58"/>
    <x v="54"/>
    <x v="21"/>
    <x v="21"/>
    <x v="5"/>
    <x v="2"/>
    <x v="58"/>
    <x v="1"/>
    <x v="0"/>
    <x v="0"/>
    <x v="16"/>
    <x v="0"/>
    <x v="1"/>
    <x v="0"/>
    <x v="0"/>
    <x v="0"/>
    <x v="0"/>
    <x v="0"/>
    <x v="0"/>
    <x v="0"/>
    <x v="0"/>
    <x v="0"/>
    <x v="0"/>
    <x v="0"/>
    <x v="0"/>
    <x v="0"/>
    <x v="0"/>
    <x v="0"/>
    <x v="0"/>
  </r>
  <r>
    <x v="59"/>
    <x v="55"/>
    <x v="32"/>
    <x v="32"/>
    <x v="4"/>
    <x v="2"/>
    <x v="59"/>
    <x v="0"/>
    <x v="1"/>
    <x v="0"/>
    <x v="46"/>
    <x v="1"/>
    <x v="3"/>
    <x v="0"/>
    <x v="0"/>
    <x v="0"/>
    <x v="0"/>
    <x v="0"/>
    <x v="0"/>
    <x v="0"/>
    <x v="0"/>
    <x v="0"/>
    <x v="0"/>
    <x v="0"/>
    <x v="0"/>
    <x v="0"/>
    <x v="0"/>
    <x v="0"/>
    <x v="0"/>
  </r>
  <r>
    <x v="60"/>
    <x v="56"/>
    <x v="15"/>
    <x v="15"/>
    <x v="6"/>
    <x v="3"/>
    <x v="60"/>
    <x v="1"/>
    <x v="2"/>
    <x v="0"/>
    <x v="47"/>
    <x v="2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61"/>
    <x v="57"/>
    <x v="4"/>
    <x v="4"/>
    <x v="3"/>
    <x v="3"/>
    <x v="61"/>
    <x v="3"/>
    <x v="0"/>
    <x v="0"/>
    <x v="8"/>
    <x v="0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62"/>
    <x v="58"/>
    <x v="32"/>
    <x v="32"/>
    <x v="4"/>
    <x v="2"/>
    <x v="62"/>
    <x v="5"/>
    <x v="1"/>
    <x v="0"/>
    <x v="48"/>
    <x v="1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63"/>
    <x v="40"/>
    <x v="33"/>
    <x v="33"/>
    <x v="6"/>
    <x v="0"/>
    <x v="63"/>
    <x v="1"/>
    <x v="3"/>
    <x v="0"/>
    <x v="49"/>
    <x v="3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64"/>
    <x v="6"/>
    <x v="34"/>
    <x v="34"/>
    <x v="3"/>
    <x v="0"/>
    <x v="64"/>
    <x v="6"/>
    <x v="1"/>
    <x v="0"/>
    <x v="17"/>
    <x v="1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65"/>
    <x v="50"/>
    <x v="7"/>
    <x v="7"/>
    <x v="3"/>
    <x v="0"/>
    <x v="65"/>
    <x v="6"/>
    <x v="3"/>
    <x v="0"/>
    <x v="22"/>
    <x v="3"/>
    <x v="4"/>
    <x v="0"/>
    <x v="0"/>
    <x v="0"/>
    <x v="0"/>
    <x v="0"/>
    <x v="0"/>
    <x v="0"/>
    <x v="0"/>
    <x v="0"/>
    <x v="0"/>
    <x v="0"/>
    <x v="0"/>
    <x v="0"/>
    <x v="0"/>
    <x v="0"/>
    <x v="0"/>
  </r>
  <r>
    <x v="66"/>
    <x v="59"/>
    <x v="24"/>
    <x v="24"/>
    <x v="2"/>
    <x v="0"/>
    <x v="66"/>
    <x v="4"/>
    <x v="0"/>
    <x v="0"/>
    <x v="17"/>
    <x v="0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67"/>
    <x v="60"/>
    <x v="17"/>
    <x v="17"/>
    <x v="6"/>
    <x v="3"/>
    <x v="67"/>
    <x v="1"/>
    <x v="3"/>
    <x v="0"/>
    <x v="24"/>
    <x v="3"/>
    <x v="6"/>
    <x v="0"/>
    <x v="0"/>
    <x v="0"/>
    <x v="0"/>
    <x v="0"/>
    <x v="0"/>
    <x v="0"/>
    <x v="0"/>
    <x v="0"/>
    <x v="0"/>
    <x v="0"/>
    <x v="0"/>
    <x v="0"/>
    <x v="0"/>
    <x v="0"/>
    <x v="0"/>
  </r>
  <r>
    <x v="68"/>
    <x v="61"/>
    <x v="0"/>
    <x v="0"/>
    <x v="0"/>
    <x v="0"/>
    <x v="68"/>
    <x v="1"/>
    <x v="1"/>
    <x v="0"/>
    <x v="42"/>
    <x v="1"/>
    <x v="6"/>
    <x v="0"/>
    <x v="0"/>
    <x v="0"/>
    <x v="0"/>
    <x v="0"/>
    <x v="0"/>
    <x v="0"/>
    <x v="0"/>
    <x v="0"/>
    <x v="0"/>
    <x v="0"/>
    <x v="0"/>
    <x v="0"/>
    <x v="0"/>
    <x v="0"/>
    <x v="0"/>
  </r>
  <r>
    <x v="69"/>
    <x v="4"/>
    <x v="14"/>
    <x v="14"/>
    <x v="2"/>
    <x v="2"/>
    <x v="69"/>
    <x v="1"/>
    <x v="1"/>
    <x v="0"/>
    <x v="50"/>
    <x v="1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70"/>
    <x v="62"/>
    <x v="9"/>
    <x v="9"/>
    <x v="1"/>
    <x v="3"/>
    <x v="70"/>
    <x v="6"/>
    <x v="0"/>
    <x v="0"/>
    <x v="36"/>
    <x v="0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71"/>
    <x v="63"/>
    <x v="3"/>
    <x v="3"/>
    <x v="2"/>
    <x v="2"/>
    <x v="71"/>
    <x v="6"/>
    <x v="1"/>
    <x v="0"/>
    <x v="31"/>
    <x v="1"/>
    <x v="25"/>
    <x v="0"/>
    <x v="0"/>
    <x v="0"/>
    <x v="0"/>
    <x v="0"/>
    <x v="0"/>
    <x v="0"/>
    <x v="0"/>
    <x v="0"/>
    <x v="0"/>
    <x v="0"/>
    <x v="0"/>
    <x v="0"/>
    <x v="0"/>
    <x v="0"/>
    <x v="0"/>
  </r>
  <r>
    <x v="72"/>
    <x v="64"/>
    <x v="25"/>
    <x v="25"/>
    <x v="5"/>
    <x v="3"/>
    <x v="72"/>
    <x v="4"/>
    <x v="0"/>
    <x v="0"/>
    <x v="5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73"/>
    <x v="65"/>
    <x v="1"/>
    <x v="1"/>
    <x v="1"/>
    <x v="1"/>
    <x v="73"/>
    <x v="6"/>
    <x v="0"/>
    <x v="0"/>
    <x v="36"/>
    <x v="0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74"/>
    <x v="34"/>
    <x v="33"/>
    <x v="33"/>
    <x v="6"/>
    <x v="0"/>
    <x v="74"/>
    <x v="7"/>
    <x v="1"/>
    <x v="0"/>
    <x v="52"/>
    <x v="1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75"/>
    <x v="66"/>
    <x v="19"/>
    <x v="19"/>
    <x v="2"/>
    <x v="1"/>
    <x v="75"/>
    <x v="8"/>
    <x v="1"/>
    <x v="0"/>
    <x v="7"/>
    <x v="1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76"/>
    <x v="67"/>
    <x v="35"/>
    <x v="35"/>
    <x v="3"/>
    <x v="3"/>
    <x v="76"/>
    <x v="6"/>
    <x v="3"/>
    <x v="0"/>
    <x v="53"/>
    <x v="3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77"/>
    <x v="68"/>
    <x v="10"/>
    <x v="10"/>
    <x v="1"/>
    <x v="2"/>
    <x v="77"/>
    <x v="5"/>
    <x v="1"/>
    <x v="0"/>
    <x v="54"/>
    <x v="1"/>
    <x v="24"/>
    <x v="0"/>
    <x v="0"/>
    <x v="0"/>
    <x v="0"/>
    <x v="0"/>
    <x v="0"/>
    <x v="0"/>
    <x v="0"/>
    <x v="0"/>
    <x v="0"/>
    <x v="0"/>
    <x v="0"/>
    <x v="0"/>
    <x v="0"/>
    <x v="0"/>
    <x v="0"/>
  </r>
  <r>
    <x v="78"/>
    <x v="69"/>
    <x v="7"/>
    <x v="7"/>
    <x v="3"/>
    <x v="0"/>
    <x v="78"/>
    <x v="6"/>
    <x v="1"/>
    <x v="0"/>
    <x v="6"/>
    <x v="1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79"/>
    <x v="70"/>
    <x v="17"/>
    <x v="17"/>
    <x v="6"/>
    <x v="3"/>
    <x v="79"/>
    <x v="6"/>
    <x v="1"/>
    <x v="0"/>
    <x v="55"/>
    <x v="1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80"/>
    <x v="71"/>
    <x v="6"/>
    <x v="6"/>
    <x v="2"/>
    <x v="3"/>
    <x v="80"/>
    <x v="0"/>
    <x v="2"/>
    <x v="1"/>
    <x v="56"/>
    <x v="2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81"/>
    <x v="72"/>
    <x v="36"/>
    <x v="36"/>
    <x v="2"/>
    <x v="2"/>
    <x v="81"/>
    <x v="1"/>
    <x v="2"/>
    <x v="0"/>
    <x v="28"/>
    <x v="2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82"/>
    <x v="73"/>
    <x v="13"/>
    <x v="13"/>
    <x v="3"/>
    <x v="1"/>
    <x v="82"/>
    <x v="0"/>
    <x v="2"/>
    <x v="0"/>
    <x v="57"/>
    <x v="2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83"/>
    <x v="74"/>
    <x v="8"/>
    <x v="8"/>
    <x v="4"/>
    <x v="3"/>
    <x v="83"/>
    <x v="3"/>
    <x v="1"/>
    <x v="0"/>
    <x v="58"/>
    <x v="1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84"/>
    <x v="75"/>
    <x v="13"/>
    <x v="13"/>
    <x v="3"/>
    <x v="1"/>
    <x v="84"/>
    <x v="3"/>
    <x v="1"/>
    <x v="0"/>
    <x v="59"/>
    <x v="1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85"/>
    <x v="76"/>
    <x v="23"/>
    <x v="23"/>
    <x v="6"/>
    <x v="3"/>
    <x v="85"/>
    <x v="0"/>
    <x v="0"/>
    <x v="0"/>
    <x v="51"/>
    <x v="0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86"/>
    <x v="77"/>
    <x v="26"/>
    <x v="26"/>
    <x v="1"/>
    <x v="1"/>
    <x v="86"/>
    <x v="1"/>
    <x v="0"/>
    <x v="0"/>
    <x v="50"/>
    <x v="0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87"/>
    <x v="78"/>
    <x v="30"/>
    <x v="30"/>
    <x v="6"/>
    <x v="1"/>
    <x v="87"/>
    <x v="1"/>
    <x v="1"/>
    <x v="2"/>
    <x v="32"/>
    <x v="1"/>
    <x v="4"/>
    <x v="0"/>
    <x v="0"/>
    <x v="0"/>
    <x v="0"/>
    <x v="0"/>
    <x v="0"/>
    <x v="0"/>
    <x v="0"/>
    <x v="0"/>
    <x v="0"/>
    <x v="0"/>
    <x v="0"/>
    <x v="0"/>
    <x v="0"/>
    <x v="0"/>
    <x v="0"/>
  </r>
  <r>
    <x v="88"/>
    <x v="79"/>
    <x v="29"/>
    <x v="29"/>
    <x v="1"/>
    <x v="3"/>
    <x v="88"/>
    <x v="4"/>
    <x v="0"/>
    <x v="0"/>
    <x v="43"/>
    <x v="0"/>
    <x v="11"/>
    <x v="0"/>
    <x v="0"/>
    <x v="0"/>
    <x v="0"/>
    <x v="0"/>
    <x v="0"/>
    <x v="0"/>
    <x v="0"/>
    <x v="0"/>
    <x v="0"/>
    <x v="0"/>
    <x v="0"/>
    <x v="0"/>
    <x v="0"/>
    <x v="0"/>
    <x v="0"/>
  </r>
  <r>
    <x v="89"/>
    <x v="80"/>
    <x v="0"/>
    <x v="0"/>
    <x v="0"/>
    <x v="0"/>
    <x v="89"/>
    <x v="7"/>
    <x v="1"/>
    <x v="0"/>
    <x v="55"/>
    <x v="1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90"/>
    <x v="11"/>
    <x v="12"/>
    <x v="12"/>
    <x v="5"/>
    <x v="2"/>
    <x v="90"/>
    <x v="4"/>
    <x v="3"/>
    <x v="0"/>
    <x v="60"/>
    <x v="3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91"/>
    <x v="61"/>
    <x v="26"/>
    <x v="26"/>
    <x v="1"/>
    <x v="1"/>
    <x v="91"/>
    <x v="5"/>
    <x v="1"/>
    <x v="0"/>
    <x v="61"/>
    <x v="1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92"/>
    <x v="81"/>
    <x v="21"/>
    <x v="21"/>
    <x v="5"/>
    <x v="2"/>
    <x v="92"/>
    <x v="6"/>
    <x v="0"/>
    <x v="0"/>
    <x v="1"/>
    <x v="0"/>
    <x v="19"/>
    <x v="0"/>
    <x v="0"/>
    <x v="0"/>
    <x v="0"/>
    <x v="0"/>
    <x v="0"/>
    <x v="0"/>
    <x v="0"/>
    <x v="0"/>
    <x v="0"/>
    <x v="0"/>
    <x v="0"/>
    <x v="0"/>
    <x v="0"/>
    <x v="0"/>
    <x v="0"/>
  </r>
  <r>
    <x v="93"/>
    <x v="82"/>
    <x v="16"/>
    <x v="16"/>
    <x v="3"/>
    <x v="3"/>
    <x v="93"/>
    <x v="2"/>
    <x v="1"/>
    <x v="0"/>
    <x v="62"/>
    <x v="1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94"/>
    <x v="83"/>
    <x v="2"/>
    <x v="2"/>
    <x v="1"/>
    <x v="1"/>
    <x v="94"/>
    <x v="1"/>
    <x v="0"/>
    <x v="0"/>
    <x v="63"/>
    <x v="0"/>
    <x v="25"/>
    <x v="0"/>
    <x v="0"/>
    <x v="0"/>
    <x v="0"/>
    <x v="0"/>
    <x v="0"/>
    <x v="0"/>
    <x v="0"/>
    <x v="0"/>
    <x v="0"/>
    <x v="0"/>
    <x v="0"/>
    <x v="0"/>
    <x v="0"/>
    <x v="0"/>
    <x v="0"/>
  </r>
  <r>
    <x v="95"/>
    <x v="84"/>
    <x v="37"/>
    <x v="37"/>
    <x v="1"/>
    <x v="2"/>
    <x v="95"/>
    <x v="7"/>
    <x v="1"/>
    <x v="0"/>
    <x v="64"/>
    <x v="1"/>
    <x v="4"/>
    <x v="0"/>
    <x v="0"/>
    <x v="0"/>
    <x v="0"/>
    <x v="0"/>
    <x v="0"/>
    <x v="0"/>
    <x v="0"/>
    <x v="0"/>
    <x v="0"/>
    <x v="0"/>
    <x v="0"/>
    <x v="0"/>
    <x v="0"/>
    <x v="0"/>
    <x v="0"/>
  </r>
  <r>
    <x v="96"/>
    <x v="85"/>
    <x v="13"/>
    <x v="13"/>
    <x v="3"/>
    <x v="1"/>
    <x v="96"/>
    <x v="5"/>
    <x v="1"/>
    <x v="0"/>
    <x v="65"/>
    <x v="1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97"/>
    <x v="86"/>
    <x v="24"/>
    <x v="24"/>
    <x v="2"/>
    <x v="0"/>
    <x v="97"/>
    <x v="4"/>
    <x v="1"/>
    <x v="0"/>
    <x v="66"/>
    <x v="1"/>
    <x v="5"/>
    <x v="0"/>
    <x v="0"/>
    <x v="0"/>
    <x v="0"/>
    <x v="0"/>
    <x v="0"/>
    <x v="0"/>
    <x v="0"/>
    <x v="0"/>
    <x v="0"/>
    <x v="0"/>
    <x v="0"/>
    <x v="0"/>
    <x v="0"/>
    <x v="0"/>
    <x v="0"/>
  </r>
  <r>
    <x v="98"/>
    <x v="87"/>
    <x v="35"/>
    <x v="35"/>
    <x v="3"/>
    <x v="3"/>
    <x v="98"/>
    <x v="5"/>
    <x v="3"/>
    <x v="0"/>
    <x v="67"/>
    <x v="3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99"/>
    <x v="53"/>
    <x v="8"/>
    <x v="8"/>
    <x v="4"/>
    <x v="3"/>
    <x v="99"/>
    <x v="6"/>
    <x v="1"/>
    <x v="0"/>
    <x v="60"/>
    <x v="1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100"/>
    <x v="88"/>
    <x v="34"/>
    <x v="34"/>
    <x v="3"/>
    <x v="0"/>
    <x v="100"/>
    <x v="5"/>
    <x v="1"/>
    <x v="0"/>
    <x v="66"/>
    <x v="1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101"/>
    <x v="89"/>
    <x v="38"/>
    <x v="38"/>
    <x v="5"/>
    <x v="1"/>
    <x v="101"/>
    <x v="6"/>
    <x v="2"/>
    <x v="0"/>
    <x v="54"/>
    <x v="2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102"/>
    <x v="90"/>
    <x v="26"/>
    <x v="26"/>
    <x v="1"/>
    <x v="1"/>
    <x v="102"/>
    <x v="3"/>
    <x v="3"/>
    <x v="0"/>
    <x v="55"/>
    <x v="3"/>
    <x v="6"/>
    <x v="0"/>
    <x v="0"/>
    <x v="0"/>
    <x v="0"/>
    <x v="0"/>
    <x v="0"/>
    <x v="0"/>
    <x v="0"/>
    <x v="0"/>
    <x v="0"/>
    <x v="0"/>
    <x v="0"/>
    <x v="0"/>
    <x v="0"/>
    <x v="0"/>
    <x v="0"/>
  </r>
  <r>
    <x v="103"/>
    <x v="17"/>
    <x v="7"/>
    <x v="7"/>
    <x v="3"/>
    <x v="0"/>
    <x v="103"/>
    <x v="7"/>
    <x v="1"/>
    <x v="0"/>
    <x v="48"/>
    <x v="1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104"/>
    <x v="83"/>
    <x v="38"/>
    <x v="38"/>
    <x v="5"/>
    <x v="1"/>
    <x v="104"/>
    <x v="0"/>
    <x v="3"/>
    <x v="0"/>
    <x v="68"/>
    <x v="3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105"/>
    <x v="91"/>
    <x v="38"/>
    <x v="38"/>
    <x v="5"/>
    <x v="1"/>
    <x v="105"/>
    <x v="7"/>
    <x v="1"/>
    <x v="0"/>
    <x v="69"/>
    <x v="1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06"/>
    <x v="92"/>
    <x v="21"/>
    <x v="21"/>
    <x v="5"/>
    <x v="2"/>
    <x v="106"/>
    <x v="3"/>
    <x v="1"/>
    <x v="0"/>
    <x v="46"/>
    <x v="1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107"/>
    <x v="60"/>
    <x v="21"/>
    <x v="21"/>
    <x v="5"/>
    <x v="2"/>
    <x v="107"/>
    <x v="6"/>
    <x v="1"/>
    <x v="0"/>
    <x v="68"/>
    <x v="1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108"/>
    <x v="30"/>
    <x v="26"/>
    <x v="26"/>
    <x v="1"/>
    <x v="1"/>
    <x v="108"/>
    <x v="6"/>
    <x v="0"/>
    <x v="1"/>
    <x v="31"/>
    <x v="0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109"/>
    <x v="93"/>
    <x v="33"/>
    <x v="33"/>
    <x v="6"/>
    <x v="0"/>
    <x v="109"/>
    <x v="7"/>
    <x v="1"/>
    <x v="0"/>
    <x v="20"/>
    <x v="1"/>
    <x v="4"/>
    <x v="0"/>
    <x v="0"/>
    <x v="0"/>
    <x v="0"/>
    <x v="0"/>
    <x v="0"/>
    <x v="0"/>
    <x v="0"/>
    <x v="0"/>
    <x v="0"/>
    <x v="0"/>
    <x v="0"/>
    <x v="0"/>
    <x v="0"/>
    <x v="0"/>
    <x v="0"/>
  </r>
  <r>
    <x v="110"/>
    <x v="94"/>
    <x v="17"/>
    <x v="17"/>
    <x v="6"/>
    <x v="3"/>
    <x v="110"/>
    <x v="4"/>
    <x v="1"/>
    <x v="0"/>
    <x v="0"/>
    <x v="1"/>
    <x v="24"/>
    <x v="0"/>
    <x v="0"/>
    <x v="0"/>
    <x v="0"/>
    <x v="0"/>
    <x v="0"/>
    <x v="0"/>
    <x v="0"/>
    <x v="0"/>
    <x v="0"/>
    <x v="0"/>
    <x v="0"/>
    <x v="0"/>
    <x v="0"/>
    <x v="0"/>
    <x v="0"/>
  </r>
  <r>
    <x v="111"/>
    <x v="95"/>
    <x v="33"/>
    <x v="33"/>
    <x v="6"/>
    <x v="0"/>
    <x v="111"/>
    <x v="1"/>
    <x v="1"/>
    <x v="0"/>
    <x v="19"/>
    <x v="1"/>
    <x v="1"/>
    <x v="0"/>
    <x v="0"/>
    <x v="0"/>
    <x v="0"/>
    <x v="0"/>
    <x v="0"/>
    <x v="0"/>
    <x v="0"/>
    <x v="0"/>
    <x v="0"/>
    <x v="0"/>
    <x v="0"/>
    <x v="0"/>
    <x v="0"/>
    <x v="0"/>
    <x v="0"/>
  </r>
  <r>
    <x v="112"/>
    <x v="96"/>
    <x v="4"/>
    <x v="4"/>
    <x v="3"/>
    <x v="3"/>
    <x v="112"/>
    <x v="6"/>
    <x v="1"/>
    <x v="0"/>
    <x v="70"/>
    <x v="1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113"/>
    <x v="91"/>
    <x v="30"/>
    <x v="30"/>
    <x v="6"/>
    <x v="1"/>
    <x v="113"/>
    <x v="5"/>
    <x v="1"/>
    <x v="0"/>
    <x v="30"/>
    <x v="1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114"/>
    <x v="97"/>
    <x v="8"/>
    <x v="8"/>
    <x v="4"/>
    <x v="3"/>
    <x v="114"/>
    <x v="7"/>
    <x v="1"/>
    <x v="0"/>
    <x v="18"/>
    <x v="1"/>
    <x v="11"/>
    <x v="0"/>
    <x v="0"/>
    <x v="0"/>
    <x v="0"/>
    <x v="0"/>
    <x v="0"/>
    <x v="0"/>
    <x v="0"/>
    <x v="0"/>
    <x v="0"/>
    <x v="0"/>
    <x v="0"/>
    <x v="0"/>
    <x v="0"/>
    <x v="0"/>
    <x v="0"/>
  </r>
  <r>
    <x v="115"/>
    <x v="30"/>
    <x v="31"/>
    <x v="31"/>
    <x v="3"/>
    <x v="1"/>
    <x v="115"/>
    <x v="6"/>
    <x v="1"/>
    <x v="0"/>
    <x v="1"/>
    <x v="1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116"/>
    <x v="98"/>
    <x v="29"/>
    <x v="29"/>
    <x v="1"/>
    <x v="3"/>
    <x v="116"/>
    <x v="6"/>
    <x v="1"/>
    <x v="0"/>
    <x v="71"/>
    <x v="1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117"/>
    <x v="90"/>
    <x v="26"/>
    <x v="26"/>
    <x v="1"/>
    <x v="1"/>
    <x v="117"/>
    <x v="6"/>
    <x v="1"/>
    <x v="0"/>
    <x v="59"/>
    <x v="1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118"/>
    <x v="99"/>
    <x v="38"/>
    <x v="38"/>
    <x v="5"/>
    <x v="1"/>
    <x v="118"/>
    <x v="6"/>
    <x v="1"/>
    <x v="0"/>
    <x v="63"/>
    <x v="1"/>
    <x v="24"/>
    <x v="0"/>
    <x v="0"/>
    <x v="0"/>
    <x v="0"/>
    <x v="0"/>
    <x v="0"/>
    <x v="0"/>
    <x v="0"/>
    <x v="0"/>
    <x v="0"/>
    <x v="0"/>
    <x v="0"/>
    <x v="0"/>
    <x v="0"/>
    <x v="0"/>
    <x v="0"/>
  </r>
  <r>
    <x v="119"/>
    <x v="100"/>
    <x v="37"/>
    <x v="37"/>
    <x v="1"/>
    <x v="2"/>
    <x v="119"/>
    <x v="0"/>
    <x v="0"/>
    <x v="0"/>
    <x v="15"/>
    <x v="0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120"/>
    <x v="53"/>
    <x v="24"/>
    <x v="24"/>
    <x v="2"/>
    <x v="0"/>
    <x v="120"/>
    <x v="6"/>
    <x v="1"/>
    <x v="0"/>
    <x v="55"/>
    <x v="1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121"/>
    <x v="101"/>
    <x v="11"/>
    <x v="11"/>
    <x v="0"/>
    <x v="3"/>
    <x v="121"/>
    <x v="0"/>
    <x v="1"/>
    <x v="0"/>
    <x v="12"/>
    <x v="1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122"/>
    <x v="59"/>
    <x v="20"/>
    <x v="20"/>
    <x v="0"/>
    <x v="3"/>
    <x v="122"/>
    <x v="2"/>
    <x v="1"/>
    <x v="1"/>
    <x v="24"/>
    <x v="1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123"/>
    <x v="102"/>
    <x v="6"/>
    <x v="6"/>
    <x v="2"/>
    <x v="3"/>
    <x v="123"/>
    <x v="1"/>
    <x v="1"/>
    <x v="0"/>
    <x v="28"/>
    <x v="1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124"/>
    <x v="103"/>
    <x v="32"/>
    <x v="32"/>
    <x v="4"/>
    <x v="2"/>
    <x v="124"/>
    <x v="6"/>
    <x v="1"/>
    <x v="0"/>
    <x v="31"/>
    <x v="1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125"/>
    <x v="104"/>
    <x v="7"/>
    <x v="7"/>
    <x v="3"/>
    <x v="0"/>
    <x v="125"/>
    <x v="2"/>
    <x v="1"/>
    <x v="0"/>
    <x v="72"/>
    <x v="1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126"/>
    <x v="105"/>
    <x v="35"/>
    <x v="35"/>
    <x v="3"/>
    <x v="3"/>
    <x v="126"/>
    <x v="3"/>
    <x v="1"/>
    <x v="0"/>
    <x v="67"/>
    <x v="1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127"/>
    <x v="14"/>
    <x v="20"/>
    <x v="20"/>
    <x v="0"/>
    <x v="3"/>
    <x v="127"/>
    <x v="6"/>
    <x v="3"/>
    <x v="0"/>
    <x v="8"/>
    <x v="3"/>
    <x v="24"/>
    <x v="0"/>
    <x v="0"/>
    <x v="0"/>
    <x v="0"/>
    <x v="0"/>
    <x v="0"/>
    <x v="0"/>
    <x v="0"/>
    <x v="0"/>
    <x v="0"/>
    <x v="0"/>
    <x v="0"/>
    <x v="0"/>
    <x v="0"/>
    <x v="0"/>
    <x v="0"/>
  </r>
  <r>
    <x v="128"/>
    <x v="106"/>
    <x v="14"/>
    <x v="14"/>
    <x v="2"/>
    <x v="2"/>
    <x v="128"/>
    <x v="4"/>
    <x v="1"/>
    <x v="0"/>
    <x v="70"/>
    <x v="1"/>
    <x v="7"/>
    <x v="0"/>
    <x v="0"/>
    <x v="0"/>
    <x v="0"/>
    <x v="0"/>
    <x v="0"/>
    <x v="0"/>
    <x v="0"/>
    <x v="0"/>
    <x v="0"/>
    <x v="0"/>
    <x v="0"/>
    <x v="0"/>
    <x v="0"/>
    <x v="0"/>
    <x v="0"/>
  </r>
  <r>
    <x v="129"/>
    <x v="107"/>
    <x v="0"/>
    <x v="0"/>
    <x v="0"/>
    <x v="0"/>
    <x v="129"/>
    <x v="4"/>
    <x v="3"/>
    <x v="0"/>
    <x v="73"/>
    <x v="3"/>
    <x v="3"/>
    <x v="0"/>
    <x v="0"/>
    <x v="0"/>
    <x v="0"/>
    <x v="0"/>
    <x v="0"/>
    <x v="0"/>
    <x v="0"/>
    <x v="0"/>
    <x v="0"/>
    <x v="0"/>
    <x v="0"/>
    <x v="0"/>
    <x v="0"/>
    <x v="0"/>
    <x v="0"/>
  </r>
  <r>
    <x v="130"/>
    <x v="95"/>
    <x v="4"/>
    <x v="4"/>
    <x v="3"/>
    <x v="3"/>
    <x v="130"/>
    <x v="7"/>
    <x v="1"/>
    <x v="2"/>
    <x v="14"/>
    <x v="1"/>
    <x v="11"/>
    <x v="0"/>
    <x v="0"/>
    <x v="0"/>
    <x v="0"/>
    <x v="0"/>
    <x v="0"/>
    <x v="0"/>
    <x v="0"/>
    <x v="0"/>
    <x v="0"/>
    <x v="0"/>
    <x v="0"/>
    <x v="0"/>
    <x v="0"/>
    <x v="0"/>
    <x v="0"/>
  </r>
  <r>
    <x v="131"/>
    <x v="5"/>
    <x v="14"/>
    <x v="14"/>
    <x v="2"/>
    <x v="2"/>
    <x v="131"/>
    <x v="7"/>
    <x v="2"/>
    <x v="0"/>
    <x v="67"/>
    <x v="2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132"/>
    <x v="28"/>
    <x v="4"/>
    <x v="4"/>
    <x v="3"/>
    <x v="3"/>
    <x v="132"/>
    <x v="7"/>
    <x v="3"/>
    <x v="0"/>
    <x v="58"/>
    <x v="3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133"/>
    <x v="108"/>
    <x v="26"/>
    <x v="26"/>
    <x v="1"/>
    <x v="1"/>
    <x v="133"/>
    <x v="1"/>
    <x v="2"/>
    <x v="0"/>
    <x v="74"/>
    <x v="2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134"/>
    <x v="109"/>
    <x v="1"/>
    <x v="1"/>
    <x v="1"/>
    <x v="1"/>
    <x v="134"/>
    <x v="4"/>
    <x v="1"/>
    <x v="0"/>
    <x v="75"/>
    <x v="1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135"/>
    <x v="87"/>
    <x v="3"/>
    <x v="3"/>
    <x v="2"/>
    <x v="2"/>
    <x v="135"/>
    <x v="7"/>
    <x v="1"/>
    <x v="0"/>
    <x v="1"/>
    <x v="1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136"/>
    <x v="83"/>
    <x v="3"/>
    <x v="3"/>
    <x v="2"/>
    <x v="2"/>
    <x v="136"/>
    <x v="1"/>
    <x v="1"/>
    <x v="0"/>
    <x v="16"/>
    <x v="1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137"/>
    <x v="110"/>
    <x v="33"/>
    <x v="33"/>
    <x v="6"/>
    <x v="0"/>
    <x v="137"/>
    <x v="0"/>
    <x v="0"/>
    <x v="1"/>
    <x v="76"/>
    <x v="0"/>
    <x v="19"/>
    <x v="0"/>
    <x v="0"/>
    <x v="0"/>
    <x v="0"/>
    <x v="0"/>
    <x v="0"/>
    <x v="0"/>
    <x v="0"/>
    <x v="0"/>
    <x v="0"/>
    <x v="0"/>
    <x v="0"/>
    <x v="0"/>
    <x v="0"/>
    <x v="0"/>
    <x v="0"/>
  </r>
  <r>
    <x v="138"/>
    <x v="111"/>
    <x v="13"/>
    <x v="13"/>
    <x v="3"/>
    <x v="1"/>
    <x v="138"/>
    <x v="7"/>
    <x v="1"/>
    <x v="0"/>
    <x v="57"/>
    <x v="1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139"/>
    <x v="82"/>
    <x v="23"/>
    <x v="23"/>
    <x v="6"/>
    <x v="3"/>
    <x v="139"/>
    <x v="6"/>
    <x v="3"/>
    <x v="0"/>
    <x v="77"/>
    <x v="3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140"/>
    <x v="112"/>
    <x v="4"/>
    <x v="4"/>
    <x v="3"/>
    <x v="3"/>
    <x v="140"/>
    <x v="4"/>
    <x v="1"/>
    <x v="0"/>
    <x v="40"/>
    <x v="1"/>
    <x v="4"/>
    <x v="0"/>
    <x v="0"/>
    <x v="0"/>
    <x v="0"/>
    <x v="0"/>
    <x v="0"/>
    <x v="0"/>
    <x v="0"/>
    <x v="0"/>
    <x v="0"/>
    <x v="0"/>
    <x v="0"/>
    <x v="0"/>
    <x v="0"/>
    <x v="0"/>
    <x v="0"/>
  </r>
  <r>
    <x v="141"/>
    <x v="113"/>
    <x v="31"/>
    <x v="31"/>
    <x v="3"/>
    <x v="1"/>
    <x v="141"/>
    <x v="1"/>
    <x v="1"/>
    <x v="0"/>
    <x v="17"/>
    <x v="1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142"/>
    <x v="95"/>
    <x v="21"/>
    <x v="21"/>
    <x v="5"/>
    <x v="2"/>
    <x v="142"/>
    <x v="2"/>
    <x v="1"/>
    <x v="0"/>
    <x v="47"/>
    <x v="1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143"/>
    <x v="114"/>
    <x v="18"/>
    <x v="18"/>
    <x v="6"/>
    <x v="2"/>
    <x v="143"/>
    <x v="1"/>
    <x v="3"/>
    <x v="0"/>
    <x v="22"/>
    <x v="3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144"/>
    <x v="0"/>
    <x v="0"/>
    <x v="0"/>
    <x v="0"/>
    <x v="0"/>
    <x v="144"/>
    <x v="1"/>
    <x v="1"/>
    <x v="0"/>
    <x v="78"/>
    <x v="1"/>
    <x v="19"/>
    <x v="0"/>
    <x v="0"/>
    <x v="0"/>
    <x v="0"/>
    <x v="0"/>
    <x v="0"/>
    <x v="0"/>
    <x v="0"/>
    <x v="0"/>
    <x v="0"/>
    <x v="0"/>
    <x v="0"/>
    <x v="0"/>
    <x v="0"/>
    <x v="0"/>
    <x v="0"/>
  </r>
  <r>
    <x v="145"/>
    <x v="115"/>
    <x v="24"/>
    <x v="24"/>
    <x v="2"/>
    <x v="0"/>
    <x v="145"/>
    <x v="1"/>
    <x v="3"/>
    <x v="0"/>
    <x v="79"/>
    <x v="3"/>
    <x v="3"/>
    <x v="0"/>
    <x v="0"/>
    <x v="0"/>
    <x v="0"/>
    <x v="0"/>
    <x v="0"/>
    <x v="0"/>
    <x v="0"/>
    <x v="0"/>
    <x v="0"/>
    <x v="0"/>
    <x v="0"/>
    <x v="0"/>
    <x v="0"/>
    <x v="0"/>
    <x v="0"/>
  </r>
  <r>
    <x v="146"/>
    <x v="116"/>
    <x v="37"/>
    <x v="37"/>
    <x v="1"/>
    <x v="2"/>
    <x v="146"/>
    <x v="1"/>
    <x v="1"/>
    <x v="0"/>
    <x v="18"/>
    <x v="1"/>
    <x v="10"/>
    <x v="1"/>
    <x v="0"/>
    <x v="0"/>
    <x v="0"/>
    <x v="0"/>
    <x v="0"/>
    <x v="0"/>
    <x v="0"/>
    <x v="0"/>
    <x v="0"/>
    <x v="0"/>
    <x v="0"/>
    <x v="0"/>
    <x v="0"/>
    <x v="0"/>
    <x v="0"/>
  </r>
  <r>
    <x v="147"/>
    <x v="117"/>
    <x v="2"/>
    <x v="2"/>
    <x v="1"/>
    <x v="1"/>
    <x v="147"/>
    <x v="7"/>
    <x v="1"/>
    <x v="2"/>
    <x v="66"/>
    <x v="1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48"/>
    <x v="16"/>
    <x v="10"/>
    <x v="10"/>
    <x v="1"/>
    <x v="2"/>
    <x v="148"/>
    <x v="0"/>
    <x v="2"/>
    <x v="0"/>
    <x v="80"/>
    <x v="2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149"/>
    <x v="118"/>
    <x v="6"/>
    <x v="6"/>
    <x v="2"/>
    <x v="3"/>
    <x v="149"/>
    <x v="7"/>
    <x v="1"/>
    <x v="0"/>
    <x v="37"/>
    <x v="1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150"/>
    <x v="2"/>
    <x v="14"/>
    <x v="14"/>
    <x v="2"/>
    <x v="2"/>
    <x v="150"/>
    <x v="5"/>
    <x v="1"/>
    <x v="0"/>
    <x v="73"/>
    <x v="1"/>
    <x v="19"/>
    <x v="0"/>
    <x v="0"/>
    <x v="0"/>
    <x v="0"/>
    <x v="0"/>
    <x v="0"/>
    <x v="0"/>
    <x v="0"/>
    <x v="0"/>
    <x v="0"/>
    <x v="0"/>
    <x v="0"/>
    <x v="0"/>
    <x v="0"/>
    <x v="0"/>
    <x v="0"/>
  </r>
  <r>
    <x v="151"/>
    <x v="119"/>
    <x v="27"/>
    <x v="27"/>
    <x v="3"/>
    <x v="0"/>
    <x v="151"/>
    <x v="1"/>
    <x v="1"/>
    <x v="0"/>
    <x v="67"/>
    <x v="1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152"/>
    <x v="57"/>
    <x v="29"/>
    <x v="29"/>
    <x v="1"/>
    <x v="3"/>
    <x v="152"/>
    <x v="7"/>
    <x v="1"/>
    <x v="0"/>
    <x v="81"/>
    <x v="1"/>
    <x v="11"/>
    <x v="0"/>
    <x v="0"/>
    <x v="0"/>
    <x v="0"/>
    <x v="0"/>
    <x v="0"/>
    <x v="0"/>
    <x v="0"/>
    <x v="0"/>
    <x v="0"/>
    <x v="0"/>
    <x v="0"/>
    <x v="0"/>
    <x v="0"/>
    <x v="0"/>
    <x v="0"/>
  </r>
  <r>
    <x v="153"/>
    <x v="20"/>
    <x v="19"/>
    <x v="19"/>
    <x v="2"/>
    <x v="1"/>
    <x v="153"/>
    <x v="1"/>
    <x v="0"/>
    <x v="0"/>
    <x v="81"/>
    <x v="0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154"/>
    <x v="93"/>
    <x v="6"/>
    <x v="6"/>
    <x v="2"/>
    <x v="3"/>
    <x v="154"/>
    <x v="5"/>
    <x v="2"/>
    <x v="0"/>
    <x v="1"/>
    <x v="2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155"/>
    <x v="23"/>
    <x v="39"/>
    <x v="39"/>
    <x v="1"/>
    <x v="1"/>
    <x v="155"/>
    <x v="3"/>
    <x v="3"/>
    <x v="0"/>
    <x v="62"/>
    <x v="3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156"/>
    <x v="120"/>
    <x v="15"/>
    <x v="15"/>
    <x v="6"/>
    <x v="3"/>
    <x v="156"/>
    <x v="0"/>
    <x v="1"/>
    <x v="0"/>
    <x v="3"/>
    <x v="1"/>
    <x v="1"/>
    <x v="0"/>
    <x v="0"/>
    <x v="0"/>
    <x v="0"/>
    <x v="0"/>
    <x v="0"/>
    <x v="0"/>
    <x v="0"/>
    <x v="0"/>
    <x v="0"/>
    <x v="0"/>
    <x v="0"/>
    <x v="0"/>
    <x v="0"/>
    <x v="0"/>
    <x v="0"/>
  </r>
  <r>
    <x v="157"/>
    <x v="121"/>
    <x v="39"/>
    <x v="39"/>
    <x v="1"/>
    <x v="1"/>
    <x v="157"/>
    <x v="1"/>
    <x v="3"/>
    <x v="1"/>
    <x v="20"/>
    <x v="3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158"/>
    <x v="27"/>
    <x v="9"/>
    <x v="9"/>
    <x v="1"/>
    <x v="3"/>
    <x v="158"/>
    <x v="8"/>
    <x v="1"/>
    <x v="0"/>
    <x v="21"/>
    <x v="1"/>
    <x v="3"/>
    <x v="0"/>
    <x v="0"/>
    <x v="0"/>
    <x v="0"/>
    <x v="0"/>
    <x v="0"/>
    <x v="0"/>
    <x v="0"/>
    <x v="0"/>
    <x v="0"/>
    <x v="0"/>
    <x v="0"/>
    <x v="0"/>
    <x v="0"/>
    <x v="0"/>
    <x v="0"/>
  </r>
  <r>
    <x v="159"/>
    <x v="122"/>
    <x v="36"/>
    <x v="36"/>
    <x v="2"/>
    <x v="2"/>
    <x v="159"/>
    <x v="0"/>
    <x v="1"/>
    <x v="0"/>
    <x v="48"/>
    <x v="1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160"/>
    <x v="123"/>
    <x v="28"/>
    <x v="28"/>
    <x v="3"/>
    <x v="1"/>
    <x v="160"/>
    <x v="6"/>
    <x v="1"/>
    <x v="0"/>
    <x v="34"/>
    <x v="1"/>
    <x v="3"/>
    <x v="0"/>
    <x v="0"/>
    <x v="0"/>
    <x v="0"/>
    <x v="0"/>
    <x v="0"/>
    <x v="0"/>
    <x v="0"/>
    <x v="0"/>
    <x v="0"/>
    <x v="0"/>
    <x v="0"/>
    <x v="0"/>
    <x v="0"/>
    <x v="0"/>
    <x v="0"/>
  </r>
  <r>
    <x v="161"/>
    <x v="124"/>
    <x v="30"/>
    <x v="30"/>
    <x v="6"/>
    <x v="1"/>
    <x v="161"/>
    <x v="5"/>
    <x v="2"/>
    <x v="0"/>
    <x v="18"/>
    <x v="2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162"/>
    <x v="125"/>
    <x v="22"/>
    <x v="22"/>
    <x v="6"/>
    <x v="3"/>
    <x v="162"/>
    <x v="3"/>
    <x v="2"/>
    <x v="0"/>
    <x v="82"/>
    <x v="2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163"/>
    <x v="126"/>
    <x v="37"/>
    <x v="37"/>
    <x v="1"/>
    <x v="2"/>
    <x v="163"/>
    <x v="7"/>
    <x v="0"/>
    <x v="0"/>
    <x v="29"/>
    <x v="0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164"/>
    <x v="127"/>
    <x v="28"/>
    <x v="28"/>
    <x v="3"/>
    <x v="1"/>
    <x v="164"/>
    <x v="3"/>
    <x v="1"/>
    <x v="0"/>
    <x v="10"/>
    <x v="1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165"/>
    <x v="128"/>
    <x v="19"/>
    <x v="19"/>
    <x v="2"/>
    <x v="1"/>
    <x v="165"/>
    <x v="5"/>
    <x v="1"/>
    <x v="0"/>
    <x v="5"/>
    <x v="1"/>
    <x v="11"/>
    <x v="0"/>
    <x v="0"/>
    <x v="0"/>
    <x v="0"/>
    <x v="0"/>
    <x v="0"/>
    <x v="0"/>
    <x v="0"/>
    <x v="0"/>
    <x v="0"/>
    <x v="0"/>
    <x v="0"/>
    <x v="0"/>
    <x v="0"/>
    <x v="0"/>
    <x v="0"/>
  </r>
  <r>
    <x v="166"/>
    <x v="129"/>
    <x v="17"/>
    <x v="17"/>
    <x v="6"/>
    <x v="3"/>
    <x v="166"/>
    <x v="8"/>
    <x v="0"/>
    <x v="1"/>
    <x v="22"/>
    <x v="0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167"/>
    <x v="93"/>
    <x v="24"/>
    <x v="24"/>
    <x v="2"/>
    <x v="0"/>
    <x v="53"/>
    <x v="3"/>
    <x v="3"/>
    <x v="0"/>
    <x v="59"/>
    <x v="3"/>
    <x v="5"/>
    <x v="0"/>
    <x v="0"/>
    <x v="0"/>
    <x v="0"/>
    <x v="0"/>
    <x v="0"/>
    <x v="0"/>
    <x v="0"/>
    <x v="0"/>
    <x v="0"/>
    <x v="0"/>
    <x v="0"/>
    <x v="0"/>
    <x v="0"/>
    <x v="0"/>
    <x v="0"/>
  </r>
  <r>
    <x v="168"/>
    <x v="130"/>
    <x v="39"/>
    <x v="39"/>
    <x v="1"/>
    <x v="1"/>
    <x v="167"/>
    <x v="1"/>
    <x v="2"/>
    <x v="0"/>
    <x v="68"/>
    <x v="2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169"/>
    <x v="130"/>
    <x v="23"/>
    <x v="23"/>
    <x v="6"/>
    <x v="3"/>
    <x v="168"/>
    <x v="0"/>
    <x v="0"/>
    <x v="0"/>
    <x v="63"/>
    <x v="0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170"/>
    <x v="131"/>
    <x v="24"/>
    <x v="24"/>
    <x v="2"/>
    <x v="0"/>
    <x v="169"/>
    <x v="7"/>
    <x v="2"/>
    <x v="0"/>
    <x v="53"/>
    <x v="2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71"/>
    <x v="37"/>
    <x v="1"/>
    <x v="1"/>
    <x v="1"/>
    <x v="1"/>
    <x v="170"/>
    <x v="1"/>
    <x v="1"/>
    <x v="0"/>
    <x v="46"/>
    <x v="1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172"/>
    <x v="27"/>
    <x v="23"/>
    <x v="23"/>
    <x v="6"/>
    <x v="3"/>
    <x v="171"/>
    <x v="4"/>
    <x v="2"/>
    <x v="0"/>
    <x v="36"/>
    <x v="2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173"/>
    <x v="132"/>
    <x v="31"/>
    <x v="31"/>
    <x v="3"/>
    <x v="1"/>
    <x v="172"/>
    <x v="5"/>
    <x v="1"/>
    <x v="0"/>
    <x v="56"/>
    <x v="1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174"/>
    <x v="133"/>
    <x v="23"/>
    <x v="23"/>
    <x v="6"/>
    <x v="3"/>
    <x v="173"/>
    <x v="2"/>
    <x v="3"/>
    <x v="1"/>
    <x v="47"/>
    <x v="3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175"/>
    <x v="134"/>
    <x v="5"/>
    <x v="5"/>
    <x v="2"/>
    <x v="1"/>
    <x v="174"/>
    <x v="7"/>
    <x v="1"/>
    <x v="0"/>
    <x v="83"/>
    <x v="1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176"/>
    <x v="31"/>
    <x v="24"/>
    <x v="24"/>
    <x v="2"/>
    <x v="0"/>
    <x v="175"/>
    <x v="2"/>
    <x v="3"/>
    <x v="0"/>
    <x v="20"/>
    <x v="3"/>
    <x v="11"/>
    <x v="0"/>
    <x v="0"/>
    <x v="0"/>
    <x v="0"/>
    <x v="0"/>
    <x v="0"/>
    <x v="0"/>
    <x v="0"/>
    <x v="0"/>
    <x v="0"/>
    <x v="0"/>
    <x v="0"/>
    <x v="0"/>
    <x v="0"/>
    <x v="0"/>
    <x v="0"/>
  </r>
  <r>
    <x v="177"/>
    <x v="135"/>
    <x v="38"/>
    <x v="38"/>
    <x v="5"/>
    <x v="1"/>
    <x v="176"/>
    <x v="8"/>
    <x v="0"/>
    <x v="2"/>
    <x v="84"/>
    <x v="0"/>
    <x v="13"/>
    <x v="1"/>
    <x v="0"/>
    <x v="0"/>
    <x v="0"/>
    <x v="0"/>
    <x v="0"/>
    <x v="0"/>
    <x v="0"/>
    <x v="0"/>
    <x v="0"/>
    <x v="0"/>
    <x v="0"/>
    <x v="0"/>
    <x v="0"/>
    <x v="0"/>
    <x v="0"/>
  </r>
  <r>
    <x v="178"/>
    <x v="136"/>
    <x v="21"/>
    <x v="21"/>
    <x v="5"/>
    <x v="2"/>
    <x v="177"/>
    <x v="0"/>
    <x v="3"/>
    <x v="0"/>
    <x v="71"/>
    <x v="3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179"/>
    <x v="105"/>
    <x v="16"/>
    <x v="16"/>
    <x v="3"/>
    <x v="3"/>
    <x v="178"/>
    <x v="7"/>
    <x v="1"/>
    <x v="0"/>
    <x v="57"/>
    <x v="1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180"/>
    <x v="11"/>
    <x v="37"/>
    <x v="37"/>
    <x v="1"/>
    <x v="2"/>
    <x v="179"/>
    <x v="5"/>
    <x v="1"/>
    <x v="1"/>
    <x v="31"/>
    <x v="1"/>
    <x v="7"/>
    <x v="0"/>
    <x v="0"/>
    <x v="0"/>
    <x v="0"/>
    <x v="0"/>
    <x v="0"/>
    <x v="0"/>
    <x v="0"/>
    <x v="0"/>
    <x v="0"/>
    <x v="0"/>
    <x v="0"/>
    <x v="0"/>
    <x v="0"/>
    <x v="0"/>
    <x v="0"/>
  </r>
  <r>
    <x v="181"/>
    <x v="37"/>
    <x v="28"/>
    <x v="28"/>
    <x v="3"/>
    <x v="1"/>
    <x v="180"/>
    <x v="5"/>
    <x v="1"/>
    <x v="0"/>
    <x v="2"/>
    <x v="1"/>
    <x v="19"/>
    <x v="0"/>
    <x v="0"/>
    <x v="0"/>
    <x v="0"/>
    <x v="0"/>
    <x v="0"/>
    <x v="0"/>
    <x v="0"/>
    <x v="0"/>
    <x v="0"/>
    <x v="0"/>
    <x v="0"/>
    <x v="0"/>
    <x v="0"/>
    <x v="0"/>
    <x v="0"/>
  </r>
  <r>
    <x v="182"/>
    <x v="47"/>
    <x v="39"/>
    <x v="39"/>
    <x v="1"/>
    <x v="1"/>
    <x v="181"/>
    <x v="6"/>
    <x v="1"/>
    <x v="0"/>
    <x v="51"/>
    <x v="1"/>
    <x v="1"/>
    <x v="0"/>
    <x v="0"/>
    <x v="0"/>
    <x v="0"/>
    <x v="0"/>
    <x v="0"/>
    <x v="0"/>
    <x v="0"/>
    <x v="0"/>
    <x v="0"/>
    <x v="0"/>
    <x v="0"/>
    <x v="0"/>
    <x v="0"/>
    <x v="0"/>
    <x v="0"/>
  </r>
  <r>
    <x v="183"/>
    <x v="91"/>
    <x v="27"/>
    <x v="27"/>
    <x v="3"/>
    <x v="0"/>
    <x v="182"/>
    <x v="5"/>
    <x v="3"/>
    <x v="0"/>
    <x v="2"/>
    <x v="3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184"/>
    <x v="40"/>
    <x v="36"/>
    <x v="36"/>
    <x v="2"/>
    <x v="2"/>
    <x v="183"/>
    <x v="5"/>
    <x v="3"/>
    <x v="0"/>
    <x v="11"/>
    <x v="3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185"/>
    <x v="137"/>
    <x v="31"/>
    <x v="31"/>
    <x v="3"/>
    <x v="1"/>
    <x v="184"/>
    <x v="1"/>
    <x v="1"/>
    <x v="0"/>
    <x v="85"/>
    <x v="1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186"/>
    <x v="138"/>
    <x v="19"/>
    <x v="19"/>
    <x v="2"/>
    <x v="1"/>
    <x v="185"/>
    <x v="6"/>
    <x v="0"/>
    <x v="0"/>
    <x v="22"/>
    <x v="0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187"/>
    <x v="23"/>
    <x v="36"/>
    <x v="36"/>
    <x v="2"/>
    <x v="2"/>
    <x v="186"/>
    <x v="1"/>
    <x v="1"/>
    <x v="0"/>
    <x v="61"/>
    <x v="1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188"/>
    <x v="139"/>
    <x v="20"/>
    <x v="20"/>
    <x v="0"/>
    <x v="3"/>
    <x v="187"/>
    <x v="5"/>
    <x v="1"/>
    <x v="0"/>
    <x v="7"/>
    <x v="1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189"/>
    <x v="76"/>
    <x v="26"/>
    <x v="26"/>
    <x v="1"/>
    <x v="1"/>
    <x v="188"/>
    <x v="2"/>
    <x v="1"/>
    <x v="0"/>
    <x v="66"/>
    <x v="1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190"/>
    <x v="140"/>
    <x v="34"/>
    <x v="34"/>
    <x v="3"/>
    <x v="0"/>
    <x v="189"/>
    <x v="4"/>
    <x v="1"/>
    <x v="0"/>
    <x v="32"/>
    <x v="1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91"/>
    <x v="141"/>
    <x v="35"/>
    <x v="35"/>
    <x v="3"/>
    <x v="3"/>
    <x v="190"/>
    <x v="2"/>
    <x v="2"/>
    <x v="0"/>
    <x v="15"/>
    <x v="2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192"/>
    <x v="11"/>
    <x v="36"/>
    <x v="36"/>
    <x v="2"/>
    <x v="2"/>
    <x v="191"/>
    <x v="0"/>
    <x v="1"/>
    <x v="0"/>
    <x v="86"/>
    <x v="1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193"/>
    <x v="142"/>
    <x v="23"/>
    <x v="23"/>
    <x v="6"/>
    <x v="3"/>
    <x v="192"/>
    <x v="7"/>
    <x v="2"/>
    <x v="0"/>
    <x v="59"/>
    <x v="2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194"/>
    <x v="100"/>
    <x v="16"/>
    <x v="16"/>
    <x v="3"/>
    <x v="3"/>
    <x v="156"/>
    <x v="3"/>
    <x v="0"/>
    <x v="0"/>
    <x v="17"/>
    <x v="0"/>
    <x v="1"/>
    <x v="0"/>
    <x v="0"/>
    <x v="0"/>
    <x v="0"/>
    <x v="0"/>
    <x v="0"/>
    <x v="0"/>
    <x v="0"/>
    <x v="0"/>
    <x v="0"/>
    <x v="0"/>
    <x v="0"/>
    <x v="0"/>
    <x v="0"/>
    <x v="0"/>
    <x v="0"/>
  </r>
  <r>
    <x v="195"/>
    <x v="124"/>
    <x v="24"/>
    <x v="24"/>
    <x v="2"/>
    <x v="0"/>
    <x v="193"/>
    <x v="1"/>
    <x v="1"/>
    <x v="0"/>
    <x v="7"/>
    <x v="1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196"/>
    <x v="143"/>
    <x v="10"/>
    <x v="10"/>
    <x v="1"/>
    <x v="2"/>
    <x v="194"/>
    <x v="1"/>
    <x v="1"/>
    <x v="0"/>
    <x v="14"/>
    <x v="1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197"/>
    <x v="38"/>
    <x v="20"/>
    <x v="20"/>
    <x v="0"/>
    <x v="3"/>
    <x v="195"/>
    <x v="3"/>
    <x v="1"/>
    <x v="0"/>
    <x v="32"/>
    <x v="1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198"/>
    <x v="144"/>
    <x v="23"/>
    <x v="23"/>
    <x v="6"/>
    <x v="3"/>
    <x v="196"/>
    <x v="7"/>
    <x v="0"/>
    <x v="0"/>
    <x v="54"/>
    <x v="0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199"/>
    <x v="145"/>
    <x v="25"/>
    <x v="25"/>
    <x v="5"/>
    <x v="3"/>
    <x v="197"/>
    <x v="3"/>
    <x v="1"/>
    <x v="0"/>
    <x v="83"/>
    <x v="1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200"/>
    <x v="146"/>
    <x v="30"/>
    <x v="30"/>
    <x v="6"/>
    <x v="1"/>
    <x v="198"/>
    <x v="3"/>
    <x v="1"/>
    <x v="0"/>
    <x v="64"/>
    <x v="1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201"/>
    <x v="147"/>
    <x v="29"/>
    <x v="29"/>
    <x v="1"/>
    <x v="3"/>
    <x v="199"/>
    <x v="1"/>
    <x v="1"/>
    <x v="0"/>
    <x v="19"/>
    <x v="1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202"/>
    <x v="148"/>
    <x v="21"/>
    <x v="21"/>
    <x v="5"/>
    <x v="2"/>
    <x v="200"/>
    <x v="7"/>
    <x v="1"/>
    <x v="0"/>
    <x v="48"/>
    <x v="1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203"/>
    <x v="149"/>
    <x v="19"/>
    <x v="19"/>
    <x v="2"/>
    <x v="1"/>
    <x v="201"/>
    <x v="1"/>
    <x v="3"/>
    <x v="0"/>
    <x v="49"/>
    <x v="3"/>
    <x v="25"/>
    <x v="0"/>
    <x v="0"/>
    <x v="0"/>
    <x v="0"/>
    <x v="0"/>
    <x v="0"/>
    <x v="0"/>
    <x v="0"/>
    <x v="0"/>
    <x v="0"/>
    <x v="0"/>
    <x v="0"/>
    <x v="0"/>
    <x v="0"/>
    <x v="0"/>
    <x v="0"/>
  </r>
  <r>
    <x v="204"/>
    <x v="53"/>
    <x v="7"/>
    <x v="7"/>
    <x v="3"/>
    <x v="0"/>
    <x v="202"/>
    <x v="1"/>
    <x v="3"/>
    <x v="0"/>
    <x v="73"/>
    <x v="3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205"/>
    <x v="129"/>
    <x v="12"/>
    <x v="12"/>
    <x v="5"/>
    <x v="2"/>
    <x v="203"/>
    <x v="1"/>
    <x v="1"/>
    <x v="1"/>
    <x v="22"/>
    <x v="1"/>
    <x v="5"/>
    <x v="0"/>
    <x v="0"/>
    <x v="0"/>
    <x v="0"/>
    <x v="0"/>
    <x v="0"/>
    <x v="0"/>
    <x v="0"/>
    <x v="0"/>
    <x v="0"/>
    <x v="0"/>
    <x v="0"/>
    <x v="0"/>
    <x v="0"/>
    <x v="0"/>
    <x v="0"/>
  </r>
  <r>
    <x v="206"/>
    <x v="47"/>
    <x v="38"/>
    <x v="38"/>
    <x v="5"/>
    <x v="1"/>
    <x v="204"/>
    <x v="4"/>
    <x v="1"/>
    <x v="0"/>
    <x v="67"/>
    <x v="1"/>
    <x v="13"/>
    <x v="1"/>
    <x v="0"/>
    <x v="0"/>
    <x v="0"/>
    <x v="0"/>
    <x v="0"/>
    <x v="0"/>
    <x v="0"/>
    <x v="0"/>
    <x v="0"/>
    <x v="0"/>
    <x v="0"/>
    <x v="0"/>
    <x v="0"/>
    <x v="0"/>
    <x v="0"/>
  </r>
  <r>
    <x v="207"/>
    <x v="112"/>
    <x v="9"/>
    <x v="9"/>
    <x v="1"/>
    <x v="3"/>
    <x v="205"/>
    <x v="7"/>
    <x v="1"/>
    <x v="0"/>
    <x v="4"/>
    <x v="1"/>
    <x v="6"/>
    <x v="0"/>
    <x v="0"/>
    <x v="0"/>
    <x v="0"/>
    <x v="0"/>
    <x v="0"/>
    <x v="0"/>
    <x v="0"/>
    <x v="0"/>
    <x v="0"/>
    <x v="0"/>
    <x v="0"/>
    <x v="0"/>
    <x v="0"/>
    <x v="0"/>
    <x v="0"/>
  </r>
  <r>
    <x v="208"/>
    <x v="124"/>
    <x v="5"/>
    <x v="5"/>
    <x v="2"/>
    <x v="1"/>
    <x v="206"/>
    <x v="7"/>
    <x v="1"/>
    <x v="0"/>
    <x v="72"/>
    <x v="1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209"/>
    <x v="150"/>
    <x v="22"/>
    <x v="22"/>
    <x v="6"/>
    <x v="3"/>
    <x v="207"/>
    <x v="1"/>
    <x v="1"/>
    <x v="0"/>
    <x v="32"/>
    <x v="1"/>
    <x v="4"/>
    <x v="0"/>
    <x v="0"/>
    <x v="0"/>
    <x v="0"/>
    <x v="0"/>
    <x v="0"/>
    <x v="0"/>
    <x v="0"/>
    <x v="0"/>
    <x v="0"/>
    <x v="0"/>
    <x v="0"/>
    <x v="0"/>
    <x v="0"/>
    <x v="0"/>
    <x v="0"/>
  </r>
  <r>
    <x v="210"/>
    <x v="151"/>
    <x v="18"/>
    <x v="18"/>
    <x v="6"/>
    <x v="2"/>
    <x v="208"/>
    <x v="2"/>
    <x v="1"/>
    <x v="0"/>
    <x v="54"/>
    <x v="1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211"/>
    <x v="152"/>
    <x v="24"/>
    <x v="24"/>
    <x v="2"/>
    <x v="0"/>
    <x v="209"/>
    <x v="1"/>
    <x v="1"/>
    <x v="0"/>
    <x v="50"/>
    <x v="1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212"/>
    <x v="62"/>
    <x v="21"/>
    <x v="21"/>
    <x v="5"/>
    <x v="2"/>
    <x v="210"/>
    <x v="3"/>
    <x v="1"/>
    <x v="0"/>
    <x v="28"/>
    <x v="1"/>
    <x v="4"/>
    <x v="0"/>
    <x v="0"/>
    <x v="0"/>
    <x v="0"/>
    <x v="0"/>
    <x v="0"/>
    <x v="0"/>
    <x v="0"/>
    <x v="0"/>
    <x v="0"/>
    <x v="0"/>
    <x v="0"/>
    <x v="0"/>
    <x v="0"/>
    <x v="0"/>
    <x v="0"/>
  </r>
  <r>
    <x v="213"/>
    <x v="84"/>
    <x v="12"/>
    <x v="12"/>
    <x v="5"/>
    <x v="2"/>
    <x v="211"/>
    <x v="1"/>
    <x v="1"/>
    <x v="0"/>
    <x v="26"/>
    <x v="1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214"/>
    <x v="98"/>
    <x v="10"/>
    <x v="10"/>
    <x v="1"/>
    <x v="2"/>
    <x v="212"/>
    <x v="3"/>
    <x v="1"/>
    <x v="0"/>
    <x v="36"/>
    <x v="1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215"/>
    <x v="153"/>
    <x v="16"/>
    <x v="16"/>
    <x v="3"/>
    <x v="3"/>
    <x v="213"/>
    <x v="5"/>
    <x v="0"/>
    <x v="0"/>
    <x v="42"/>
    <x v="0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216"/>
    <x v="142"/>
    <x v="30"/>
    <x v="30"/>
    <x v="6"/>
    <x v="1"/>
    <x v="214"/>
    <x v="5"/>
    <x v="1"/>
    <x v="0"/>
    <x v="19"/>
    <x v="1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217"/>
    <x v="154"/>
    <x v="36"/>
    <x v="36"/>
    <x v="2"/>
    <x v="2"/>
    <x v="215"/>
    <x v="5"/>
    <x v="0"/>
    <x v="0"/>
    <x v="0"/>
    <x v="0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218"/>
    <x v="126"/>
    <x v="38"/>
    <x v="38"/>
    <x v="5"/>
    <x v="1"/>
    <x v="216"/>
    <x v="1"/>
    <x v="1"/>
    <x v="0"/>
    <x v="83"/>
    <x v="1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219"/>
    <x v="49"/>
    <x v="39"/>
    <x v="39"/>
    <x v="1"/>
    <x v="1"/>
    <x v="217"/>
    <x v="6"/>
    <x v="0"/>
    <x v="0"/>
    <x v="87"/>
    <x v="0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220"/>
    <x v="155"/>
    <x v="37"/>
    <x v="37"/>
    <x v="1"/>
    <x v="2"/>
    <x v="218"/>
    <x v="8"/>
    <x v="0"/>
    <x v="0"/>
    <x v="78"/>
    <x v="0"/>
    <x v="10"/>
    <x v="1"/>
    <x v="0"/>
    <x v="0"/>
    <x v="0"/>
    <x v="0"/>
    <x v="0"/>
    <x v="0"/>
    <x v="0"/>
    <x v="0"/>
    <x v="0"/>
    <x v="0"/>
    <x v="0"/>
    <x v="0"/>
    <x v="0"/>
    <x v="0"/>
    <x v="0"/>
  </r>
  <r>
    <x v="221"/>
    <x v="145"/>
    <x v="14"/>
    <x v="14"/>
    <x v="2"/>
    <x v="2"/>
    <x v="219"/>
    <x v="1"/>
    <x v="1"/>
    <x v="0"/>
    <x v="35"/>
    <x v="1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222"/>
    <x v="1"/>
    <x v="5"/>
    <x v="5"/>
    <x v="2"/>
    <x v="1"/>
    <x v="220"/>
    <x v="1"/>
    <x v="1"/>
    <x v="0"/>
    <x v="66"/>
    <x v="1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223"/>
    <x v="156"/>
    <x v="27"/>
    <x v="27"/>
    <x v="3"/>
    <x v="0"/>
    <x v="221"/>
    <x v="1"/>
    <x v="3"/>
    <x v="0"/>
    <x v="70"/>
    <x v="3"/>
    <x v="11"/>
    <x v="0"/>
    <x v="0"/>
    <x v="0"/>
    <x v="0"/>
    <x v="0"/>
    <x v="0"/>
    <x v="0"/>
    <x v="0"/>
    <x v="0"/>
    <x v="0"/>
    <x v="0"/>
    <x v="0"/>
    <x v="0"/>
    <x v="0"/>
    <x v="0"/>
    <x v="0"/>
  </r>
  <r>
    <x v="224"/>
    <x v="143"/>
    <x v="21"/>
    <x v="21"/>
    <x v="5"/>
    <x v="2"/>
    <x v="222"/>
    <x v="5"/>
    <x v="1"/>
    <x v="0"/>
    <x v="88"/>
    <x v="1"/>
    <x v="3"/>
    <x v="0"/>
    <x v="0"/>
    <x v="0"/>
    <x v="0"/>
    <x v="0"/>
    <x v="0"/>
    <x v="0"/>
    <x v="0"/>
    <x v="0"/>
    <x v="0"/>
    <x v="0"/>
    <x v="0"/>
    <x v="0"/>
    <x v="0"/>
    <x v="0"/>
    <x v="0"/>
  </r>
  <r>
    <x v="225"/>
    <x v="135"/>
    <x v="1"/>
    <x v="1"/>
    <x v="1"/>
    <x v="1"/>
    <x v="223"/>
    <x v="1"/>
    <x v="1"/>
    <x v="2"/>
    <x v="86"/>
    <x v="1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226"/>
    <x v="62"/>
    <x v="2"/>
    <x v="2"/>
    <x v="1"/>
    <x v="1"/>
    <x v="224"/>
    <x v="2"/>
    <x v="3"/>
    <x v="1"/>
    <x v="1"/>
    <x v="3"/>
    <x v="1"/>
    <x v="0"/>
    <x v="0"/>
    <x v="0"/>
    <x v="0"/>
    <x v="0"/>
    <x v="0"/>
    <x v="0"/>
    <x v="0"/>
    <x v="0"/>
    <x v="0"/>
    <x v="0"/>
    <x v="0"/>
    <x v="0"/>
    <x v="0"/>
    <x v="0"/>
    <x v="0"/>
  </r>
  <r>
    <x v="227"/>
    <x v="133"/>
    <x v="18"/>
    <x v="18"/>
    <x v="6"/>
    <x v="2"/>
    <x v="225"/>
    <x v="1"/>
    <x v="0"/>
    <x v="0"/>
    <x v="17"/>
    <x v="0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228"/>
    <x v="156"/>
    <x v="35"/>
    <x v="35"/>
    <x v="3"/>
    <x v="3"/>
    <x v="226"/>
    <x v="5"/>
    <x v="0"/>
    <x v="1"/>
    <x v="7"/>
    <x v="0"/>
    <x v="19"/>
    <x v="0"/>
    <x v="0"/>
    <x v="0"/>
    <x v="0"/>
    <x v="0"/>
    <x v="0"/>
    <x v="0"/>
    <x v="0"/>
    <x v="0"/>
    <x v="0"/>
    <x v="0"/>
    <x v="0"/>
    <x v="0"/>
    <x v="0"/>
    <x v="0"/>
    <x v="0"/>
  </r>
  <r>
    <x v="229"/>
    <x v="25"/>
    <x v="3"/>
    <x v="3"/>
    <x v="2"/>
    <x v="2"/>
    <x v="227"/>
    <x v="4"/>
    <x v="1"/>
    <x v="0"/>
    <x v="60"/>
    <x v="1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230"/>
    <x v="157"/>
    <x v="30"/>
    <x v="30"/>
    <x v="6"/>
    <x v="1"/>
    <x v="228"/>
    <x v="7"/>
    <x v="1"/>
    <x v="0"/>
    <x v="89"/>
    <x v="1"/>
    <x v="7"/>
    <x v="0"/>
    <x v="0"/>
    <x v="0"/>
    <x v="0"/>
    <x v="0"/>
    <x v="0"/>
    <x v="0"/>
    <x v="0"/>
    <x v="0"/>
    <x v="0"/>
    <x v="0"/>
    <x v="0"/>
    <x v="0"/>
    <x v="0"/>
    <x v="0"/>
    <x v="0"/>
  </r>
  <r>
    <x v="231"/>
    <x v="158"/>
    <x v="5"/>
    <x v="5"/>
    <x v="2"/>
    <x v="1"/>
    <x v="229"/>
    <x v="1"/>
    <x v="0"/>
    <x v="0"/>
    <x v="90"/>
    <x v="0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232"/>
    <x v="159"/>
    <x v="0"/>
    <x v="0"/>
    <x v="0"/>
    <x v="0"/>
    <x v="230"/>
    <x v="5"/>
    <x v="1"/>
    <x v="0"/>
    <x v="49"/>
    <x v="1"/>
    <x v="6"/>
    <x v="0"/>
    <x v="0"/>
    <x v="0"/>
    <x v="0"/>
    <x v="0"/>
    <x v="0"/>
    <x v="0"/>
    <x v="0"/>
    <x v="0"/>
    <x v="0"/>
    <x v="0"/>
    <x v="0"/>
    <x v="0"/>
    <x v="0"/>
    <x v="0"/>
    <x v="0"/>
  </r>
  <r>
    <x v="233"/>
    <x v="160"/>
    <x v="38"/>
    <x v="38"/>
    <x v="5"/>
    <x v="1"/>
    <x v="231"/>
    <x v="5"/>
    <x v="1"/>
    <x v="0"/>
    <x v="43"/>
    <x v="1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234"/>
    <x v="161"/>
    <x v="33"/>
    <x v="33"/>
    <x v="6"/>
    <x v="0"/>
    <x v="232"/>
    <x v="1"/>
    <x v="1"/>
    <x v="0"/>
    <x v="18"/>
    <x v="1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235"/>
    <x v="162"/>
    <x v="26"/>
    <x v="26"/>
    <x v="1"/>
    <x v="1"/>
    <x v="233"/>
    <x v="3"/>
    <x v="3"/>
    <x v="2"/>
    <x v="47"/>
    <x v="3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236"/>
    <x v="93"/>
    <x v="12"/>
    <x v="12"/>
    <x v="5"/>
    <x v="2"/>
    <x v="234"/>
    <x v="6"/>
    <x v="3"/>
    <x v="0"/>
    <x v="40"/>
    <x v="3"/>
    <x v="3"/>
    <x v="0"/>
    <x v="0"/>
    <x v="0"/>
    <x v="0"/>
    <x v="0"/>
    <x v="0"/>
    <x v="0"/>
    <x v="0"/>
    <x v="0"/>
    <x v="0"/>
    <x v="0"/>
    <x v="0"/>
    <x v="0"/>
    <x v="0"/>
    <x v="0"/>
    <x v="0"/>
  </r>
  <r>
    <x v="237"/>
    <x v="163"/>
    <x v="26"/>
    <x v="26"/>
    <x v="1"/>
    <x v="1"/>
    <x v="235"/>
    <x v="7"/>
    <x v="1"/>
    <x v="0"/>
    <x v="32"/>
    <x v="1"/>
    <x v="19"/>
    <x v="0"/>
    <x v="0"/>
    <x v="0"/>
    <x v="0"/>
    <x v="0"/>
    <x v="0"/>
    <x v="0"/>
    <x v="0"/>
    <x v="0"/>
    <x v="0"/>
    <x v="0"/>
    <x v="0"/>
    <x v="0"/>
    <x v="0"/>
    <x v="0"/>
    <x v="0"/>
  </r>
  <r>
    <x v="238"/>
    <x v="164"/>
    <x v="7"/>
    <x v="7"/>
    <x v="3"/>
    <x v="0"/>
    <x v="236"/>
    <x v="0"/>
    <x v="3"/>
    <x v="0"/>
    <x v="46"/>
    <x v="3"/>
    <x v="24"/>
    <x v="0"/>
    <x v="0"/>
    <x v="0"/>
    <x v="0"/>
    <x v="0"/>
    <x v="0"/>
    <x v="0"/>
    <x v="0"/>
    <x v="0"/>
    <x v="0"/>
    <x v="0"/>
    <x v="0"/>
    <x v="0"/>
    <x v="0"/>
    <x v="0"/>
    <x v="0"/>
  </r>
  <r>
    <x v="239"/>
    <x v="165"/>
    <x v="15"/>
    <x v="15"/>
    <x v="6"/>
    <x v="3"/>
    <x v="237"/>
    <x v="1"/>
    <x v="0"/>
    <x v="1"/>
    <x v="18"/>
    <x v="0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240"/>
    <x v="127"/>
    <x v="13"/>
    <x v="13"/>
    <x v="3"/>
    <x v="1"/>
    <x v="238"/>
    <x v="3"/>
    <x v="1"/>
    <x v="1"/>
    <x v="66"/>
    <x v="1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241"/>
    <x v="166"/>
    <x v="11"/>
    <x v="11"/>
    <x v="0"/>
    <x v="3"/>
    <x v="239"/>
    <x v="5"/>
    <x v="3"/>
    <x v="0"/>
    <x v="37"/>
    <x v="3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242"/>
    <x v="167"/>
    <x v="26"/>
    <x v="26"/>
    <x v="1"/>
    <x v="1"/>
    <x v="240"/>
    <x v="4"/>
    <x v="1"/>
    <x v="0"/>
    <x v="73"/>
    <x v="1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243"/>
    <x v="168"/>
    <x v="20"/>
    <x v="20"/>
    <x v="0"/>
    <x v="3"/>
    <x v="241"/>
    <x v="1"/>
    <x v="3"/>
    <x v="0"/>
    <x v="48"/>
    <x v="3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244"/>
    <x v="56"/>
    <x v="3"/>
    <x v="3"/>
    <x v="2"/>
    <x v="2"/>
    <x v="242"/>
    <x v="5"/>
    <x v="1"/>
    <x v="0"/>
    <x v="91"/>
    <x v="1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245"/>
    <x v="160"/>
    <x v="4"/>
    <x v="4"/>
    <x v="3"/>
    <x v="3"/>
    <x v="243"/>
    <x v="7"/>
    <x v="3"/>
    <x v="0"/>
    <x v="24"/>
    <x v="3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246"/>
    <x v="169"/>
    <x v="36"/>
    <x v="36"/>
    <x v="2"/>
    <x v="2"/>
    <x v="244"/>
    <x v="7"/>
    <x v="1"/>
    <x v="0"/>
    <x v="22"/>
    <x v="1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247"/>
    <x v="86"/>
    <x v="14"/>
    <x v="14"/>
    <x v="2"/>
    <x v="2"/>
    <x v="245"/>
    <x v="4"/>
    <x v="1"/>
    <x v="0"/>
    <x v="64"/>
    <x v="1"/>
    <x v="4"/>
    <x v="0"/>
    <x v="0"/>
    <x v="0"/>
    <x v="0"/>
    <x v="0"/>
    <x v="0"/>
    <x v="0"/>
    <x v="0"/>
    <x v="0"/>
    <x v="0"/>
    <x v="0"/>
    <x v="0"/>
    <x v="0"/>
    <x v="0"/>
    <x v="0"/>
    <x v="0"/>
  </r>
  <r>
    <x v="248"/>
    <x v="170"/>
    <x v="29"/>
    <x v="29"/>
    <x v="1"/>
    <x v="3"/>
    <x v="246"/>
    <x v="2"/>
    <x v="1"/>
    <x v="0"/>
    <x v="62"/>
    <x v="1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249"/>
    <x v="146"/>
    <x v="23"/>
    <x v="23"/>
    <x v="6"/>
    <x v="3"/>
    <x v="247"/>
    <x v="2"/>
    <x v="0"/>
    <x v="0"/>
    <x v="82"/>
    <x v="0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250"/>
    <x v="171"/>
    <x v="38"/>
    <x v="38"/>
    <x v="5"/>
    <x v="1"/>
    <x v="248"/>
    <x v="0"/>
    <x v="0"/>
    <x v="0"/>
    <x v="43"/>
    <x v="0"/>
    <x v="13"/>
    <x v="1"/>
    <x v="0"/>
    <x v="0"/>
    <x v="0"/>
    <x v="0"/>
    <x v="0"/>
    <x v="0"/>
    <x v="0"/>
    <x v="0"/>
    <x v="0"/>
    <x v="0"/>
    <x v="0"/>
    <x v="0"/>
    <x v="0"/>
    <x v="0"/>
    <x v="0"/>
  </r>
  <r>
    <x v="251"/>
    <x v="67"/>
    <x v="34"/>
    <x v="34"/>
    <x v="3"/>
    <x v="0"/>
    <x v="249"/>
    <x v="1"/>
    <x v="3"/>
    <x v="0"/>
    <x v="8"/>
    <x v="3"/>
    <x v="7"/>
    <x v="0"/>
    <x v="0"/>
    <x v="0"/>
    <x v="0"/>
    <x v="0"/>
    <x v="0"/>
    <x v="0"/>
    <x v="0"/>
    <x v="0"/>
    <x v="0"/>
    <x v="0"/>
    <x v="0"/>
    <x v="0"/>
    <x v="0"/>
    <x v="0"/>
    <x v="0"/>
  </r>
  <r>
    <x v="252"/>
    <x v="67"/>
    <x v="22"/>
    <x v="22"/>
    <x v="6"/>
    <x v="3"/>
    <x v="250"/>
    <x v="5"/>
    <x v="3"/>
    <x v="0"/>
    <x v="58"/>
    <x v="3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253"/>
    <x v="25"/>
    <x v="25"/>
    <x v="25"/>
    <x v="5"/>
    <x v="3"/>
    <x v="251"/>
    <x v="1"/>
    <x v="1"/>
    <x v="0"/>
    <x v="92"/>
    <x v="1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254"/>
    <x v="172"/>
    <x v="36"/>
    <x v="36"/>
    <x v="2"/>
    <x v="2"/>
    <x v="252"/>
    <x v="4"/>
    <x v="1"/>
    <x v="0"/>
    <x v="20"/>
    <x v="1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255"/>
    <x v="173"/>
    <x v="31"/>
    <x v="31"/>
    <x v="3"/>
    <x v="1"/>
    <x v="253"/>
    <x v="4"/>
    <x v="3"/>
    <x v="0"/>
    <x v="84"/>
    <x v="3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256"/>
    <x v="22"/>
    <x v="3"/>
    <x v="3"/>
    <x v="2"/>
    <x v="2"/>
    <x v="254"/>
    <x v="4"/>
    <x v="1"/>
    <x v="0"/>
    <x v="30"/>
    <x v="1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257"/>
    <x v="174"/>
    <x v="34"/>
    <x v="34"/>
    <x v="3"/>
    <x v="0"/>
    <x v="255"/>
    <x v="1"/>
    <x v="1"/>
    <x v="0"/>
    <x v="66"/>
    <x v="1"/>
    <x v="24"/>
    <x v="0"/>
    <x v="0"/>
    <x v="0"/>
    <x v="0"/>
    <x v="0"/>
    <x v="0"/>
    <x v="0"/>
    <x v="0"/>
    <x v="0"/>
    <x v="0"/>
    <x v="0"/>
    <x v="0"/>
    <x v="0"/>
    <x v="0"/>
    <x v="0"/>
    <x v="0"/>
  </r>
  <r>
    <x v="258"/>
    <x v="37"/>
    <x v="36"/>
    <x v="36"/>
    <x v="2"/>
    <x v="2"/>
    <x v="256"/>
    <x v="1"/>
    <x v="1"/>
    <x v="0"/>
    <x v="65"/>
    <x v="1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259"/>
    <x v="175"/>
    <x v="39"/>
    <x v="39"/>
    <x v="1"/>
    <x v="1"/>
    <x v="257"/>
    <x v="6"/>
    <x v="0"/>
    <x v="0"/>
    <x v="28"/>
    <x v="0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260"/>
    <x v="176"/>
    <x v="12"/>
    <x v="12"/>
    <x v="5"/>
    <x v="2"/>
    <x v="258"/>
    <x v="5"/>
    <x v="1"/>
    <x v="0"/>
    <x v="45"/>
    <x v="1"/>
    <x v="11"/>
    <x v="0"/>
    <x v="0"/>
    <x v="0"/>
    <x v="0"/>
    <x v="0"/>
    <x v="0"/>
    <x v="0"/>
    <x v="0"/>
    <x v="0"/>
    <x v="0"/>
    <x v="0"/>
    <x v="0"/>
    <x v="0"/>
    <x v="0"/>
    <x v="0"/>
    <x v="0"/>
  </r>
  <r>
    <x v="261"/>
    <x v="95"/>
    <x v="31"/>
    <x v="31"/>
    <x v="3"/>
    <x v="1"/>
    <x v="259"/>
    <x v="3"/>
    <x v="2"/>
    <x v="0"/>
    <x v="16"/>
    <x v="2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262"/>
    <x v="177"/>
    <x v="13"/>
    <x v="13"/>
    <x v="3"/>
    <x v="1"/>
    <x v="260"/>
    <x v="7"/>
    <x v="1"/>
    <x v="0"/>
    <x v="42"/>
    <x v="1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263"/>
    <x v="46"/>
    <x v="0"/>
    <x v="0"/>
    <x v="0"/>
    <x v="0"/>
    <x v="261"/>
    <x v="1"/>
    <x v="0"/>
    <x v="1"/>
    <x v="6"/>
    <x v="0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264"/>
    <x v="73"/>
    <x v="31"/>
    <x v="31"/>
    <x v="3"/>
    <x v="1"/>
    <x v="262"/>
    <x v="5"/>
    <x v="1"/>
    <x v="0"/>
    <x v="16"/>
    <x v="1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265"/>
    <x v="86"/>
    <x v="14"/>
    <x v="14"/>
    <x v="2"/>
    <x v="2"/>
    <x v="263"/>
    <x v="0"/>
    <x v="0"/>
    <x v="0"/>
    <x v="48"/>
    <x v="0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266"/>
    <x v="178"/>
    <x v="38"/>
    <x v="38"/>
    <x v="5"/>
    <x v="1"/>
    <x v="264"/>
    <x v="0"/>
    <x v="0"/>
    <x v="0"/>
    <x v="27"/>
    <x v="0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267"/>
    <x v="179"/>
    <x v="20"/>
    <x v="20"/>
    <x v="0"/>
    <x v="3"/>
    <x v="265"/>
    <x v="5"/>
    <x v="0"/>
    <x v="0"/>
    <x v="53"/>
    <x v="0"/>
    <x v="19"/>
    <x v="0"/>
    <x v="0"/>
    <x v="0"/>
    <x v="0"/>
    <x v="0"/>
    <x v="0"/>
    <x v="0"/>
    <x v="0"/>
    <x v="0"/>
    <x v="0"/>
    <x v="0"/>
    <x v="0"/>
    <x v="0"/>
    <x v="0"/>
    <x v="0"/>
    <x v="0"/>
  </r>
  <r>
    <x v="268"/>
    <x v="180"/>
    <x v="30"/>
    <x v="30"/>
    <x v="6"/>
    <x v="1"/>
    <x v="266"/>
    <x v="6"/>
    <x v="2"/>
    <x v="0"/>
    <x v="19"/>
    <x v="2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269"/>
    <x v="61"/>
    <x v="11"/>
    <x v="11"/>
    <x v="0"/>
    <x v="3"/>
    <x v="267"/>
    <x v="7"/>
    <x v="1"/>
    <x v="1"/>
    <x v="93"/>
    <x v="1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270"/>
    <x v="181"/>
    <x v="26"/>
    <x v="26"/>
    <x v="1"/>
    <x v="1"/>
    <x v="268"/>
    <x v="4"/>
    <x v="1"/>
    <x v="2"/>
    <x v="8"/>
    <x v="1"/>
    <x v="6"/>
    <x v="0"/>
    <x v="0"/>
    <x v="0"/>
    <x v="0"/>
    <x v="0"/>
    <x v="0"/>
    <x v="0"/>
    <x v="0"/>
    <x v="0"/>
    <x v="0"/>
    <x v="0"/>
    <x v="0"/>
    <x v="0"/>
    <x v="0"/>
    <x v="0"/>
    <x v="0"/>
  </r>
  <r>
    <x v="271"/>
    <x v="182"/>
    <x v="22"/>
    <x v="22"/>
    <x v="6"/>
    <x v="3"/>
    <x v="269"/>
    <x v="2"/>
    <x v="1"/>
    <x v="1"/>
    <x v="48"/>
    <x v="1"/>
    <x v="3"/>
    <x v="0"/>
    <x v="0"/>
    <x v="0"/>
    <x v="0"/>
    <x v="0"/>
    <x v="0"/>
    <x v="0"/>
    <x v="0"/>
    <x v="0"/>
    <x v="0"/>
    <x v="0"/>
    <x v="0"/>
    <x v="0"/>
    <x v="0"/>
    <x v="0"/>
    <x v="0"/>
  </r>
  <r>
    <x v="272"/>
    <x v="83"/>
    <x v="31"/>
    <x v="31"/>
    <x v="3"/>
    <x v="1"/>
    <x v="270"/>
    <x v="7"/>
    <x v="1"/>
    <x v="0"/>
    <x v="60"/>
    <x v="1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273"/>
    <x v="82"/>
    <x v="3"/>
    <x v="3"/>
    <x v="2"/>
    <x v="2"/>
    <x v="271"/>
    <x v="4"/>
    <x v="1"/>
    <x v="0"/>
    <x v="93"/>
    <x v="1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274"/>
    <x v="183"/>
    <x v="39"/>
    <x v="39"/>
    <x v="1"/>
    <x v="1"/>
    <x v="272"/>
    <x v="7"/>
    <x v="1"/>
    <x v="0"/>
    <x v="87"/>
    <x v="1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275"/>
    <x v="184"/>
    <x v="37"/>
    <x v="37"/>
    <x v="1"/>
    <x v="2"/>
    <x v="273"/>
    <x v="7"/>
    <x v="1"/>
    <x v="0"/>
    <x v="41"/>
    <x v="1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276"/>
    <x v="185"/>
    <x v="25"/>
    <x v="25"/>
    <x v="5"/>
    <x v="3"/>
    <x v="274"/>
    <x v="7"/>
    <x v="1"/>
    <x v="0"/>
    <x v="90"/>
    <x v="1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277"/>
    <x v="186"/>
    <x v="13"/>
    <x v="13"/>
    <x v="3"/>
    <x v="1"/>
    <x v="275"/>
    <x v="1"/>
    <x v="1"/>
    <x v="0"/>
    <x v="63"/>
    <x v="1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278"/>
    <x v="187"/>
    <x v="1"/>
    <x v="1"/>
    <x v="1"/>
    <x v="1"/>
    <x v="276"/>
    <x v="7"/>
    <x v="2"/>
    <x v="0"/>
    <x v="79"/>
    <x v="2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279"/>
    <x v="188"/>
    <x v="30"/>
    <x v="30"/>
    <x v="6"/>
    <x v="1"/>
    <x v="277"/>
    <x v="5"/>
    <x v="0"/>
    <x v="0"/>
    <x v="78"/>
    <x v="0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280"/>
    <x v="189"/>
    <x v="11"/>
    <x v="11"/>
    <x v="0"/>
    <x v="3"/>
    <x v="278"/>
    <x v="6"/>
    <x v="1"/>
    <x v="0"/>
    <x v="73"/>
    <x v="1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281"/>
    <x v="101"/>
    <x v="10"/>
    <x v="10"/>
    <x v="1"/>
    <x v="2"/>
    <x v="279"/>
    <x v="1"/>
    <x v="1"/>
    <x v="1"/>
    <x v="72"/>
    <x v="1"/>
    <x v="5"/>
    <x v="0"/>
    <x v="0"/>
    <x v="0"/>
    <x v="0"/>
    <x v="0"/>
    <x v="0"/>
    <x v="0"/>
    <x v="0"/>
    <x v="0"/>
    <x v="0"/>
    <x v="0"/>
    <x v="0"/>
    <x v="0"/>
    <x v="0"/>
    <x v="0"/>
    <x v="0"/>
  </r>
  <r>
    <x v="282"/>
    <x v="190"/>
    <x v="1"/>
    <x v="1"/>
    <x v="1"/>
    <x v="1"/>
    <x v="280"/>
    <x v="8"/>
    <x v="1"/>
    <x v="0"/>
    <x v="94"/>
    <x v="1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283"/>
    <x v="169"/>
    <x v="31"/>
    <x v="31"/>
    <x v="3"/>
    <x v="1"/>
    <x v="281"/>
    <x v="1"/>
    <x v="0"/>
    <x v="0"/>
    <x v="32"/>
    <x v="0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284"/>
    <x v="104"/>
    <x v="25"/>
    <x v="25"/>
    <x v="5"/>
    <x v="3"/>
    <x v="282"/>
    <x v="2"/>
    <x v="1"/>
    <x v="0"/>
    <x v="84"/>
    <x v="1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285"/>
    <x v="93"/>
    <x v="14"/>
    <x v="14"/>
    <x v="2"/>
    <x v="2"/>
    <x v="283"/>
    <x v="1"/>
    <x v="1"/>
    <x v="0"/>
    <x v="53"/>
    <x v="1"/>
    <x v="11"/>
    <x v="0"/>
    <x v="0"/>
    <x v="0"/>
    <x v="0"/>
    <x v="0"/>
    <x v="0"/>
    <x v="0"/>
    <x v="0"/>
    <x v="0"/>
    <x v="0"/>
    <x v="0"/>
    <x v="0"/>
    <x v="0"/>
    <x v="0"/>
    <x v="0"/>
    <x v="0"/>
  </r>
  <r>
    <x v="286"/>
    <x v="191"/>
    <x v="32"/>
    <x v="32"/>
    <x v="4"/>
    <x v="2"/>
    <x v="284"/>
    <x v="1"/>
    <x v="3"/>
    <x v="0"/>
    <x v="8"/>
    <x v="3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287"/>
    <x v="192"/>
    <x v="23"/>
    <x v="23"/>
    <x v="6"/>
    <x v="3"/>
    <x v="285"/>
    <x v="5"/>
    <x v="1"/>
    <x v="0"/>
    <x v="30"/>
    <x v="1"/>
    <x v="5"/>
    <x v="0"/>
    <x v="0"/>
    <x v="0"/>
    <x v="0"/>
    <x v="0"/>
    <x v="0"/>
    <x v="0"/>
    <x v="0"/>
    <x v="0"/>
    <x v="0"/>
    <x v="0"/>
    <x v="0"/>
    <x v="0"/>
    <x v="0"/>
    <x v="0"/>
    <x v="0"/>
  </r>
  <r>
    <x v="288"/>
    <x v="94"/>
    <x v="39"/>
    <x v="39"/>
    <x v="1"/>
    <x v="1"/>
    <x v="286"/>
    <x v="5"/>
    <x v="1"/>
    <x v="0"/>
    <x v="68"/>
    <x v="1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289"/>
    <x v="193"/>
    <x v="9"/>
    <x v="9"/>
    <x v="1"/>
    <x v="3"/>
    <x v="287"/>
    <x v="2"/>
    <x v="2"/>
    <x v="0"/>
    <x v="25"/>
    <x v="2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290"/>
    <x v="77"/>
    <x v="9"/>
    <x v="9"/>
    <x v="1"/>
    <x v="3"/>
    <x v="288"/>
    <x v="3"/>
    <x v="0"/>
    <x v="0"/>
    <x v="27"/>
    <x v="0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291"/>
    <x v="194"/>
    <x v="4"/>
    <x v="4"/>
    <x v="3"/>
    <x v="3"/>
    <x v="289"/>
    <x v="1"/>
    <x v="1"/>
    <x v="0"/>
    <x v="86"/>
    <x v="1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292"/>
    <x v="178"/>
    <x v="4"/>
    <x v="4"/>
    <x v="3"/>
    <x v="3"/>
    <x v="290"/>
    <x v="6"/>
    <x v="1"/>
    <x v="0"/>
    <x v="14"/>
    <x v="1"/>
    <x v="25"/>
    <x v="0"/>
    <x v="0"/>
    <x v="0"/>
    <x v="0"/>
    <x v="0"/>
    <x v="0"/>
    <x v="0"/>
    <x v="0"/>
    <x v="0"/>
    <x v="0"/>
    <x v="0"/>
    <x v="0"/>
    <x v="0"/>
    <x v="0"/>
    <x v="0"/>
    <x v="0"/>
  </r>
  <r>
    <x v="293"/>
    <x v="195"/>
    <x v="8"/>
    <x v="8"/>
    <x v="4"/>
    <x v="3"/>
    <x v="291"/>
    <x v="3"/>
    <x v="0"/>
    <x v="0"/>
    <x v="5"/>
    <x v="0"/>
    <x v="3"/>
    <x v="0"/>
    <x v="0"/>
    <x v="0"/>
    <x v="0"/>
    <x v="0"/>
    <x v="0"/>
    <x v="0"/>
    <x v="0"/>
    <x v="0"/>
    <x v="0"/>
    <x v="0"/>
    <x v="0"/>
    <x v="0"/>
    <x v="0"/>
    <x v="0"/>
    <x v="0"/>
  </r>
  <r>
    <x v="294"/>
    <x v="196"/>
    <x v="6"/>
    <x v="6"/>
    <x v="2"/>
    <x v="3"/>
    <x v="292"/>
    <x v="1"/>
    <x v="3"/>
    <x v="0"/>
    <x v="19"/>
    <x v="3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295"/>
    <x v="21"/>
    <x v="3"/>
    <x v="3"/>
    <x v="2"/>
    <x v="2"/>
    <x v="293"/>
    <x v="6"/>
    <x v="1"/>
    <x v="0"/>
    <x v="4"/>
    <x v="1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296"/>
    <x v="197"/>
    <x v="26"/>
    <x v="26"/>
    <x v="1"/>
    <x v="1"/>
    <x v="294"/>
    <x v="3"/>
    <x v="0"/>
    <x v="0"/>
    <x v="37"/>
    <x v="0"/>
    <x v="1"/>
    <x v="0"/>
    <x v="0"/>
    <x v="0"/>
    <x v="0"/>
    <x v="0"/>
    <x v="0"/>
    <x v="0"/>
    <x v="0"/>
    <x v="0"/>
    <x v="0"/>
    <x v="0"/>
    <x v="0"/>
    <x v="0"/>
    <x v="0"/>
    <x v="0"/>
    <x v="0"/>
  </r>
  <r>
    <x v="297"/>
    <x v="198"/>
    <x v="31"/>
    <x v="31"/>
    <x v="3"/>
    <x v="1"/>
    <x v="295"/>
    <x v="4"/>
    <x v="1"/>
    <x v="0"/>
    <x v="95"/>
    <x v="1"/>
    <x v="7"/>
    <x v="0"/>
    <x v="0"/>
    <x v="0"/>
    <x v="0"/>
    <x v="0"/>
    <x v="0"/>
    <x v="0"/>
    <x v="0"/>
    <x v="0"/>
    <x v="0"/>
    <x v="0"/>
    <x v="0"/>
    <x v="0"/>
    <x v="0"/>
    <x v="0"/>
    <x v="0"/>
  </r>
  <r>
    <x v="298"/>
    <x v="199"/>
    <x v="18"/>
    <x v="18"/>
    <x v="6"/>
    <x v="2"/>
    <x v="296"/>
    <x v="3"/>
    <x v="1"/>
    <x v="0"/>
    <x v="17"/>
    <x v="1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299"/>
    <x v="66"/>
    <x v="17"/>
    <x v="17"/>
    <x v="6"/>
    <x v="3"/>
    <x v="297"/>
    <x v="1"/>
    <x v="1"/>
    <x v="0"/>
    <x v="49"/>
    <x v="1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300"/>
    <x v="119"/>
    <x v="15"/>
    <x v="15"/>
    <x v="6"/>
    <x v="3"/>
    <x v="298"/>
    <x v="1"/>
    <x v="1"/>
    <x v="0"/>
    <x v="52"/>
    <x v="1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301"/>
    <x v="200"/>
    <x v="26"/>
    <x v="26"/>
    <x v="1"/>
    <x v="1"/>
    <x v="299"/>
    <x v="7"/>
    <x v="3"/>
    <x v="0"/>
    <x v="8"/>
    <x v="3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302"/>
    <x v="201"/>
    <x v="12"/>
    <x v="12"/>
    <x v="5"/>
    <x v="2"/>
    <x v="300"/>
    <x v="7"/>
    <x v="1"/>
    <x v="0"/>
    <x v="17"/>
    <x v="1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303"/>
    <x v="202"/>
    <x v="32"/>
    <x v="32"/>
    <x v="4"/>
    <x v="2"/>
    <x v="301"/>
    <x v="5"/>
    <x v="1"/>
    <x v="0"/>
    <x v="0"/>
    <x v="1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304"/>
    <x v="203"/>
    <x v="2"/>
    <x v="2"/>
    <x v="1"/>
    <x v="1"/>
    <x v="302"/>
    <x v="7"/>
    <x v="0"/>
    <x v="0"/>
    <x v="96"/>
    <x v="0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305"/>
    <x v="204"/>
    <x v="4"/>
    <x v="4"/>
    <x v="3"/>
    <x v="3"/>
    <x v="303"/>
    <x v="3"/>
    <x v="2"/>
    <x v="0"/>
    <x v="58"/>
    <x v="2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306"/>
    <x v="134"/>
    <x v="31"/>
    <x v="31"/>
    <x v="3"/>
    <x v="1"/>
    <x v="304"/>
    <x v="1"/>
    <x v="3"/>
    <x v="0"/>
    <x v="13"/>
    <x v="3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307"/>
    <x v="168"/>
    <x v="34"/>
    <x v="34"/>
    <x v="3"/>
    <x v="0"/>
    <x v="305"/>
    <x v="2"/>
    <x v="3"/>
    <x v="0"/>
    <x v="16"/>
    <x v="3"/>
    <x v="11"/>
    <x v="0"/>
    <x v="0"/>
    <x v="0"/>
    <x v="0"/>
    <x v="0"/>
    <x v="0"/>
    <x v="0"/>
    <x v="0"/>
    <x v="0"/>
    <x v="0"/>
    <x v="0"/>
    <x v="0"/>
    <x v="0"/>
    <x v="0"/>
    <x v="0"/>
    <x v="0"/>
  </r>
  <r>
    <x v="308"/>
    <x v="205"/>
    <x v="32"/>
    <x v="32"/>
    <x v="4"/>
    <x v="2"/>
    <x v="306"/>
    <x v="1"/>
    <x v="1"/>
    <x v="0"/>
    <x v="73"/>
    <x v="1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309"/>
    <x v="195"/>
    <x v="17"/>
    <x v="17"/>
    <x v="6"/>
    <x v="3"/>
    <x v="307"/>
    <x v="6"/>
    <x v="1"/>
    <x v="0"/>
    <x v="75"/>
    <x v="1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310"/>
    <x v="47"/>
    <x v="9"/>
    <x v="9"/>
    <x v="1"/>
    <x v="3"/>
    <x v="79"/>
    <x v="4"/>
    <x v="2"/>
    <x v="0"/>
    <x v="78"/>
    <x v="2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311"/>
    <x v="129"/>
    <x v="30"/>
    <x v="30"/>
    <x v="6"/>
    <x v="1"/>
    <x v="308"/>
    <x v="1"/>
    <x v="1"/>
    <x v="0"/>
    <x v="29"/>
    <x v="1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312"/>
    <x v="206"/>
    <x v="16"/>
    <x v="16"/>
    <x v="3"/>
    <x v="3"/>
    <x v="309"/>
    <x v="2"/>
    <x v="1"/>
    <x v="0"/>
    <x v="22"/>
    <x v="1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313"/>
    <x v="76"/>
    <x v="6"/>
    <x v="6"/>
    <x v="2"/>
    <x v="3"/>
    <x v="310"/>
    <x v="3"/>
    <x v="0"/>
    <x v="0"/>
    <x v="55"/>
    <x v="0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314"/>
    <x v="160"/>
    <x v="26"/>
    <x v="26"/>
    <x v="1"/>
    <x v="1"/>
    <x v="311"/>
    <x v="4"/>
    <x v="1"/>
    <x v="0"/>
    <x v="20"/>
    <x v="1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315"/>
    <x v="207"/>
    <x v="5"/>
    <x v="5"/>
    <x v="2"/>
    <x v="1"/>
    <x v="312"/>
    <x v="1"/>
    <x v="2"/>
    <x v="0"/>
    <x v="12"/>
    <x v="2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316"/>
    <x v="208"/>
    <x v="15"/>
    <x v="15"/>
    <x v="6"/>
    <x v="3"/>
    <x v="313"/>
    <x v="5"/>
    <x v="0"/>
    <x v="0"/>
    <x v="97"/>
    <x v="0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317"/>
    <x v="35"/>
    <x v="9"/>
    <x v="9"/>
    <x v="1"/>
    <x v="3"/>
    <x v="314"/>
    <x v="1"/>
    <x v="2"/>
    <x v="0"/>
    <x v="13"/>
    <x v="2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318"/>
    <x v="178"/>
    <x v="39"/>
    <x v="39"/>
    <x v="1"/>
    <x v="1"/>
    <x v="315"/>
    <x v="7"/>
    <x v="1"/>
    <x v="0"/>
    <x v="63"/>
    <x v="1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319"/>
    <x v="209"/>
    <x v="25"/>
    <x v="25"/>
    <x v="5"/>
    <x v="3"/>
    <x v="316"/>
    <x v="1"/>
    <x v="0"/>
    <x v="0"/>
    <x v="73"/>
    <x v="0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320"/>
    <x v="100"/>
    <x v="39"/>
    <x v="39"/>
    <x v="1"/>
    <x v="1"/>
    <x v="317"/>
    <x v="5"/>
    <x v="1"/>
    <x v="0"/>
    <x v="22"/>
    <x v="1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321"/>
    <x v="25"/>
    <x v="22"/>
    <x v="22"/>
    <x v="6"/>
    <x v="3"/>
    <x v="318"/>
    <x v="3"/>
    <x v="1"/>
    <x v="0"/>
    <x v="91"/>
    <x v="1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322"/>
    <x v="95"/>
    <x v="1"/>
    <x v="1"/>
    <x v="1"/>
    <x v="1"/>
    <x v="319"/>
    <x v="3"/>
    <x v="0"/>
    <x v="0"/>
    <x v="73"/>
    <x v="0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323"/>
    <x v="179"/>
    <x v="32"/>
    <x v="32"/>
    <x v="4"/>
    <x v="2"/>
    <x v="320"/>
    <x v="6"/>
    <x v="2"/>
    <x v="0"/>
    <x v="52"/>
    <x v="2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324"/>
    <x v="68"/>
    <x v="39"/>
    <x v="39"/>
    <x v="1"/>
    <x v="1"/>
    <x v="321"/>
    <x v="3"/>
    <x v="1"/>
    <x v="0"/>
    <x v="25"/>
    <x v="1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325"/>
    <x v="210"/>
    <x v="39"/>
    <x v="39"/>
    <x v="1"/>
    <x v="1"/>
    <x v="322"/>
    <x v="5"/>
    <x v="1"/>
    <x v="0"/>
    <x v="17"/>
    <x v="1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326"/>
    <x v="211"/>
    <x v="36"/>
    <x v="36"/>
    <x v="2"/>
    <x v="2"/>
    <x v="323"/>
    <x v="5"/>
    <x v="1"/>
    <x v="0"/>
    <x v="43"/>
    <x v="1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327"/>
    <x v="91"/>
    <x v="19"/>
    <x v="19"/>
    <x v="2"/>
    <x v="1"/>
    <x v="324"/>
    <x v="1"/>
    <x v="1"/>
    <x v="0"/>
    <x v="8"/>
    <x v="1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328"/>
    <x v="212"/>
    <x v="28"/>
    <x v="28"/>
    <x v="3"/>
    <x v="1"/>
    <x v="325"/>
    <x v="5"/>
    <x v="0"/>
    <x v="0"/>
    <x v="21"/>
    <x v="0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329"/>
    <x v="136"/>
    <x v="15"/>
    <x v="15"/>
    <x v="6"/>
    <x v="3"/>
    <x v="326"/>
    <x v="3"/>
    <x v="3"/>
    <x v="0"/>
    <x v="22"/>
    <x v="3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330"/>
    <x v="179"/>
    <x v="2"/>
    <x v="2"/>
    <x v="1"/>
    <x v="1"/>
    <x v="327"/>
    <x v="6"/>
    <x v="1"/>
    <x v="0"/>
    <x v="46"/>
    <x v="1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331"/>
    <x v="23"/>
    <x v="12"/>
    <x v="12"/>
    <x v="5"/>
    <x v="2"/>
    <x v="328"/>
    <x v="7"/>
    <x v="1"/>
    <x v="0"/>
    <x v="98"/>
    <x v="1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332"/>
    <x v="213"/>
    <x v="4"/>
    <x v="4"/>
    <x v="3"/>
    <x v="3"/>
    <x v="329"/>
    <x v="1"/>
    <x v="2"/>
    <x v="0"/>
    <x v="96"/>
    <x v="2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333"/>
    <x v="79"/>
    <x v="28"/>
    <x v="28"/>
    <x v="3"/>
    <x v="1"/>
    <x v="330"/>
    <x v="3"/>
    <x v="1"/>
    <x v="0"/>
    <x v="75"/>
    <x v="1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334"/>
    <x v="175"/>
    <x v="27"/>
    <x v="27"/>
    <x v="3"/>
    <x v="0"/>
    <x v="331"/>
    <x v="6"/>
    <x v="3"/>
    <x v="0"/>
    <x v="78"/>
    <x v="3"/>
    <x v="25"/>
    <x v="0"/>
    <x v="0"/>
    <x v="0"/>
    <x v="0"/>
    <x v="0"/>
    <x v="0"/>
    <x v="0"/>
    <x v="0"/>
    <x v="0"/>
    <x v="0"/>
    <x v="0"/>
    <x v="0"/>
    <x v="0"/>
    <x v="0"/>
    <x v="0"/>
    <x v="0"/>
  </r>
  <r>
    <x v="335"/>
    <x v="208"/>
    <x v="15"/>
    <x v="15"/>
    <x v="6"/>
    <x v="3"/>
    <x v="332"/>
    <x v="6"/>
    <x v="3"/>
    <x v="0"/>
    <x v="34"/>
    <x v="3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336"/>
    <x v="214"/>
    <x v="24"/>
    <x v="24"/>
    <x v="2"/>
    <x v="0"/>
    <x v="333"/>
    <x v="5"/>
    <x v="1"/>
    <x v="0"/>
    <x v="66"/>
    <x v="1"/>
    <x v="5"/>
    <x v="0"/>
    <x v="0"/>
    <x v="0"/>
    <x v="0"/>
    <x v="0"/>
    <x v="0"/>
    <x v="0"/>
    <x v="0"/>
    <x v="0"/>
    <x v="0"/>
    <x v="0"/>
    <x v="0"/>
    <x v="0"/>
    <x v="0"/>
    <x v="0"/>
    <x v="0"/>
  </r>
  <r>
    <x v="337"/>
    <x v="215"/>
    <x v="1"/>
    <x v="1"/>
    <x v="1"/>
    <x v="1"/>
    <x v="334"/>
    <x v="0"/>
    <x v="1"/>
    <x v="2"/>
    <x v="34"/>
    <x v="1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338"/>
    <x v="12"/>
    <x v="34"/>
    <x v="34"/>
    <x v="3"/>
    <x v="0"/>
    <x v="335"/>
    <x v="0"/>
    <x v="1"/>
    <x v="0"/>
    <x v="14"/>
    <x v="1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339"/>
    <x v="68"/>
    <x v="22"/>
    <x v="22"/>
    <x v="6"/>
    <x v="3"/>
    <x v="336"/>
    <x v="2"/>
    <x v="1"/>
    <x v="0"/>
    <x v="58"/>
    <x v="1"/>
    <x v="19"/>
    <x v="0"/>
    <x v="0"/>
    <x v="0"/>
    <x v="0"/>
    <x v="0"/>
    <x v="0"/>
    <x v="0"/>
    <x v="0"/>
    <x v="0"/>
    <x v="0"/>
    <x v="0"/>
    <x v="0"/>
    <x v="0"/>
    <x v="0"/>
    <x v="0"/>
    <x v="0"/>
  </r>
  <r>
    <x v="340"/>
    <x v="129"/>
    <x v="23"/>
    <x v="23"/>
    <x v="6"/>
    <x v="3"/>
    <x v="337"/>
    <x v="3"/>
    <x v="2"/>
    <x v="0"/>
    <x v="14"/>
    <x v="2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341"/>
    <x v="88"/>
    <x v="26"/>
    <x v="26"/>
    <x v="1"/>
    <x v="1"/>
    <x v="338"/>
    <x v="0"/>
    <x v="1"/>
    <x v="1"/>
    <x v="24"/>
    <x v="1"/>
    <x v="5"/>
    <x v="0"/>
    <x v="0"/>
    <x v="0"/>
    <x v="0"/>
    <x v="0"/>
    <x v="0"/>
    <x v="0"/>
    <x v="0"/>
    <x v="0"/>
    <x v="0"/>
    <x v="0"/>
    <x v="0"/>
    <x v="0"/>
    <x v="0"/>
    <x v="0"/>
    <x v="0"/>
  </r>
  <r>
    <x v="342"/>
    <x v="208"/>
    <x v="14"/>
    <x v="14"/>
    <x v="2"/>
    <x v="2"/>
    <x v="339"/>
    <x v="2"/>
    <x v="1"/>
    <x v="0"/>
    <x v="22"/>
    <x v="1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343"/>
    <x v="216"/>
    <x v="17"/>
    <x v="17"/>
    <x v="6"/>
    <x v="3"/>
    <x v="340"/>
    <x v="1"/>
    <x v="0"/>
    <x v="0"/>
    <x v="73"/>
    <x v="0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344"/>
    <x v="216"/>
    <x v="33"/>
    <x v="33"/>
    <x v="6"/>
    <x v="0"/>
    <x v="341"/>
    <x v="1"/>
    <x v="1"/>
    <x v="0"/>
    <x v="85"/>
    <x v="1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345"/>
    <x v="89"/>
    <x v="33"/>
    <x v="33"/>
    <x v="6"/>
    <x v="0"/>
    <x v="342"/>
    <x v="3"/>
    <x v="0"/>
    <x v="0"/>
    <x v="84"/>
    <x v="0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346"/>
    <x v="194"/>
    <x v="0"/>
    <x v="0"/>
    <x v="0"/>
    <x v="0"/>
    <x v="343"/>
    <x v="3"/>
    <x v="1"/>
    <x v="0"/>
    <x v="56"/>
    <x v="1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347"/>
    <x v="217"/>
    <x v="13"/>
    <x v="13"/>
    <x v="3"/>
    <x v="1"/>
    <x v="344"/>
    <x v="3"/>
    <x v="0"/>
    <x v="0"/>
    <x v="78"/>
    <x v="0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348"/>
    <x v="85"/>
    <x v="13"/>
    <x v="13"/>
    <x v="3"/>
    <x v="1"/>
    <x v="345"/>
    <x v="5"/>
    <x v="1"/>
    <x v="0"/>
    <x v="35"/>
    <x v="1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349"/>
    <x v="218"/>
    <x v="28"/>
    <x v="28"/>
    <x v="3"/>
    <x v="1"/>
    <x v="346"/>
    <x v="2"/>
    <x v="1"/>
    <x v="0"/>
    <x v="90"/>
    <x v="1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350"/>
    <x v="219"/>
    <x v="22"/>
    <x v="22"/>
    <x v="6"/>
    <x v="3"/>
    <x v="347"/>
    <x v="5"/>
    <x v="2"/>
    <x v="0"/>
    <x v="26"/>
    <x v="2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351"/>
    <x v="133"/>
    <x v="25"/>
    <x v="25"/>
    <x v="5"/>
    <x v="3"/>
    <x v="348"/>
    <x v="8"/>
    <x v="1"/>
    <x v="0"/>
    <x v="19"/>
    <x v="1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352"/>
    <x v="61"/>
    <x v="25"/>
    <x v="25"/>
    <x v="5"/>
    <x v="3"/>
    <x v="343"/>
    <x v="7"/>
    <x v="1"/>
    <x v="0"/>
    <x v="31"/>
    <x v="1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353"/>
    <x v="177"/>
    <x v="30"/>
    <x v="30"/>
    <x v="6"/>
    <x v="1"/>
    <x v="349"/>
    <x v="2"/>
    <x v="2"/>
    <x v="0"/>
    <x v="58"/>
    <x v="2"/>
    <x v="6"/>
    <x v="0"/>
    <x v="0"/>
    <x v="0"/>
    <x v="0"/>
    <x v="0"/>
    <x v="0"/>
    <x v="0"/>
    <x v="0"/>
    <x v="0"/>
    <x v="0"/>
    <x v="0"/>
    <x v="0"/>
    <x v="0"/>
    <x v="0"/>
    <x v="0"/>
    <x v="0"/>
  </r>
  <r>
    <x v="354"/>
    <x v="124"/>
    <x v="25"/>
    <x v="25"/>
    <x v="5"/>
    <x v="3"/>
    <x v="350"/>
    <x v="7"/>
    <x v="1"/>
    <x v="0"/>
    <x v="13"/>
    <x v="1"/>
    <x v="1"/>
    <x v="0"/>
    <x v="0"/>
    <x v="0"/>
    <x v="0"/>
    <x v="0"/>
    <x v="0"/>
    <x v="0"/>
    <x v="0"/>
    <x v="0"/>
    <x v="0"/>
    <x v="0"/>
    <x v="0"/>
    <x v="0"/>
    <x v="0"/>
    <x v="0"/>
    <x v="0"/>
  </r>
  <r>
    <x v="355"/>
    <x v="43"/>
    <x v="11"/>
    <x v="11"/>
    <x v="0"/>
    <x v="3"/>
    <x v="351"/>
    <x v="3"/>
    <x v="1"/>
    <x v="0"/>
    <x v="7"/>
    <x v="1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356"/>
    <x v="220"/>
    <x v="39"/>
    <x v="39"/>
    <x v="1"/>
    <x v="1"/>
    <x v="352"/>
    <x v="3"/>
    <x v="1"/>
    <x v="0"/>
    <x v="91"/>
    <x v="1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357"/>
    <x v="221"/>
    <x v="34"/>
    <x v="34"/>
    <x v="3"/>
    <x v="0"/>
    <x v="353"/>
    <x v="1"/>
    <x v="1"/>
    <x v="0"/>
    <x v="81"/>
    <x v="1"/>
    <x v="7"/>
    <x v="0"/>
    <x v="0"/>
    <x v="0"/>
    <x v="0"/>
    <x v="0"/>
    <x v="0"/>
    <x v="0"/>
    <x v="0"/>
    <x v="0"/>
    <x v="0"/>
    <x v="0"/>
    <x v="0"/>
    <x v="0"/>
    <x v="0"/>
    <x v="0"/>
    <x v="0"/>
  </r>
  <r>
    <x v="358"/>
    <x v="222"/>
    <x v="12"/>
    <x v="12"/>
    <x v="5"/>
    <x v="2"/>
    <x v="354"/>
    <x v="7"/>
    <x v="1"/>
    <x v="2"/>
    <x v="14"/>
    <x v="1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359"/>
    <x v="16"/>
    <x v="35"/>
    <x v="35"/>
    <x v="3"/>
    <x v="3"/>
    <x v="355"/>
    <x v="3"/>
    <x v="2"/>
    <x v="0"/>
    <x v="50"/>
    <x v="2"/>
    <x v="4"/>
    <x v="0"/>
    <x v="0"/>
    <x v="0"/>
    <x v="0"/>
    <x v="0"/>
    <x v="0"/>
    <x v="0"/>
    <x v="0"/>
    <x v="0"/>
    <x v="0"/>
    <x v="0"/>
    <x v="0"/>
    <x v="0"/>
    <x v="0"/>
    <x v="0"/>
    <x v="0"/>
  </r>
  <r>
    <x v="360"/>
    <x v="223"/>
    <x v="21"/>
    <x v="21"/>
    <x v="5"/>
    <x v="2"/>
    <x v="356"/>
    <x v="1"/>
    <x v="1"/>
    <x v="0"/>
    <x v="61"/>
    <x v="1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361"/>
    <x v="15"/>
    <x v="30"/>
    <x v="30"/>
    <x v="6"/>
    <x v="1"/>
    <x v="357"/>
    <x v="0"/>
    <x v="1"/>
    <x v="0"/>
    <x v="33"/>
    <x v="1"/>
    <x v="24"/>
    <x v="0"/>
    <x v="0"/>
    <x v="0"/>
    <x v="0"/>
    <x v="0"/>
    <x v="0"/>
    <x v="0"/>
    <x v="0"/>
    <x v="0"/>
    <x v="0"/>
    <x v="0"/>
    <x v="0"/>
    <x v="0"/>
    <x v="0"/>
    <x v="0"/>
    <x v="0"/>
  </r>
  <r>
    <x v="362"/>
    <x v="99"/>
    <x v="27"/>
    <x v="27"/>
    <x v="3"/>
    <x v="0"/>
    <x v="358"/>
    <x v="1"/>
    <x v="2"/>
    <x v="0"/>
    <x v="28"/>
    <x v="2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363"/>
    <x v="162"/>
    <x v="21"/>
    <x v="21"/>
    <x v="5"/>
    <x v="2"/>
    <x v="359"/>
    <x v="0"/>
    <x v="0"/>
    <x v="0"/>
    <x v="57"/>
    <x v="0"/>
    <x v="24"/>
    <x v="0"/>
    <x v="0"/>
    <x v="0"/>
    <x v="0"/>
    <x v="0"/>
    <x v="0"/>
    <x v="0"/>
    <x v="0"/>
    <x v="0"/>
    <x v="0"/>
    <x v="0"/>
    <x v="0"/>
    <x v="0"/>
    <x v="0"/>
    <x v="0"/>
    <x v="0"/>
  </r>
  <r>
    <x v="364"/>
    <x v="77"/>
    <x v="2"/>
    <x v="2"/>
    <x v="1"/>
    <x v="1"/>
    <x v="360"/>
    <x v="5"/>
    <x v="1"/>
    <x v="0"/>
    <x v="89"/>
    <x v="1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365"/>
    <x v="224"/>
    <x v="34"/>
    <x v="34"/>
    <x v="3"/>
    <x v="0"/>
    <x v="361"/>
    <x v="3"/>
    <x v="1"/>
    <x v="0"/>
    <x v="47"/>
    <x v="1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366"/>
    <x v="186"/>
    <x v="6"/>
    <x v="6"/>
    <x v="2"/>
    <x v="3"/>
    <x v="362"/>
    <x v="7"/>
    <x v="1"/>
    <x v="0"/>
    <x v="84"/>
    <x v="1"/>
    <x v="5"/>
    <x v="0"/>
    <x v="0"/>
    <x v="0"/>
    <x v="0"/>
    <x v="0"/>
    <x v="0"/>
    <x v="0"/>
    <x v="0"/>
    <x v="0"/>
    <x v="0"/>
    <x v="0"/>
    <x v="0"/>
    <x v="0"/>
    <x v="0"/>
    <x v="0"/>
    <x v="0"/>
  </r>
  <r>
    <x v="367"/>
    <x v="163"/>
    <x v="1"/>
    <x v="1"/>
    <x v="1"/>
    <x v="1"/>
    <x v="363"/>
    <x v="2"/>
    <x v="2"/>
    <x v="1"/>
    <x v="80"/>
    <x v="2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368"/>
    <x v="225"/>
    <x v="20"/>
    <x v="20"/>
    <x v="0"/>
    <x v="3"/>
    <x v="364"/>
    <x v="1"/>
    <x v="1"/>
    <x v="2"/>
    <x v="99"/>
    <x v="1"/>
    <x v="25"/>
    <x v="0"/>
    <x v="0"/>
    <x v="0"/>
    <x v="0"/>
    <x v="0"/>
    <x v="0"/>
    <x v="0"/>
    <x v="0"/>
    <x v="0"/>
    <x v="0"/>
    <x v="0"/>
    <x v="0"/>
    <x v="0"/>
    <x v="0"/>
    <x v="0"/>
    <x v="0"/>
  </r>
  <r>
    <x v="369"/>
    <x v="174"/>
    <x v="36"/>
    <x v="36"/>
    <x v="2"/>
    <x v="2"/>
    <x v="365"/>
    <x v="6"/>
    <x v="1"/>
    <x v="0"/>
    <x v="71"/>
    <x v="1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370"/>
    <x v="78"/>
    <x v="36"/>
    <x v="36"/>
    <x v="2"/>
    <x v="2"/>
    <x v="366"/>
    <x v="3"/>
    <x v="1"/>
    <x v="0"/>
    <x v="92"/>
    <x v="1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371"/>
    <x v="226"/>
    <x v="3"/>
    <x v="3"/>
    <x v="2"/>
    <x v="2"/>
    <x v="367"/>
    <x v="5"/>
    <x v="0"/>
    <x v="0"/>
    <x v="76"/>
    <x v="0"/>
    <x v="7"/>
    <x v="0"/>
    <x v="0"/>
    <x v="0"/>
    <x v="0"/>
    <x v="0"/>
    <x v="0"/>
    <x v="0"/>
    <x v="0"/>
    <x v="0"/>
    <x v="0"/>
    <x v="0"/>
    <x v="0"/>
    <x v="0"/>
    <x v="0"/>
    <x v="0"/>
    <x v="0"/>
  </r>
  <r>
    <x v="372"/>
    <x v="227"/>
    <x v="28"/>
    <x v="28"/>
    <x v="3"/>
    <x v="1"/>
    <x v="368"/>
    <x v="2"/>
    <x v="1"/>
    <x v="0"/>
    <x v="22"/>
    <x v="1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373"/>
    <x v="228"/>
    <x v="25"/>
    <x v="25"/>
    <x v="5"/>
    <x v="3"/>
    <x v="369"/>
    <x v="2"/>
    <x v="2"/>
    <x v="0"/>
    <x v="61"/>
    <x v="2"/>
    <x v="24"/>
    <x v="0"/>
    <x v="0"/>
    <x v="0"/>
    <x v="0"/>
    <x v="0"/>
    <x v="0"/>
    <x v="0"/>
    <x v="0"/>
    <x v="0"/>
    <x v="0"/>
    <x v="0"/>
    <x v="0"/>
    <x v="0"/>
    <x v="0"/>
    <x v="0"/>
    <x v="0"/>
  </r>
  <r>
    <x v="374"/>
    <x v="90"/>
    <x v="16"/>
    <x v="16"/>
    <x v="3"/>
    <x v="3"/>
    <x v="370"/>
    <x v="4"/>
    <x v="0"/>
    <x v="0"/>
    <x v="80"/>
    <x v="0"/>
    <x v="5"/>
    <x v="0"/>
    <x v="0"/>
    <x v="0"/>
    <x v="0"/>
    <x v="0"/>
    <x v="0"/>
    <x v="0"/>
    <x v="0"/>
    <x v="0"/>
    <x v="0"/>
    <x v="0"/>
    <x v="0"/>
    <x v="0"/>
    <x v="0"/>
    <x v="0"/>
    <x v="0"/>
  </r>
  <r>
    <x v="375"/>
    <x v="77"/>
    <x v="5"/>
    <x v="5"/>
    <x v="2"/>
    <x v="1"/>
    <x v="371"/>
    <x v="1"/>
    <x v="1"/>
    <x v="0"/>
    <x v="82"/>
    <x v="1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376"/>
    <x v="90"/>
    <x v="30"/>
    <x v="30"/>
    <x v="6"/>
    <x v="1"/>
    <x v="372"/>
    <x v="3"/>
    <x v="0"/>
    <x v="0"/>
    <x v="73"/>
    <x v="0"/>
    <x v="3"/>
    <x v="0"/>
    <x v="0"/>
    <x v="0"/>
    <x v="0"/>
    <x v="0"/>
    <x v="0"/>
    <x v="0"/>
    <x v="0"/>
    <x v="0"/>
    <x v="0"/>
    <x v="0"/>
    <x v="0"/>
    <x v="0"/>
    <x v="0"/>
    <x v="0"/>
    <x v="0"/>
  </r>
  <r>
    <x v="377"/>
    <x v="126"/>
    <x v="5"/>
    <x v="5"/>
    <x v="2"/>
    <x v="1"/>
    <x v="373"/>
    <x v="1"/>
    <x v="1"/>
    <x v="0"/>
    <x v="30"/>
    <x v="1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378"/>
    <x v="167"/>
    <x v="13"/>
    <x v="13"/>
    <x v="3"/>
    <x v="1"/>
    <x v="374"/>
    <x v="1"/>
    <x v="3"/>
    <x v="0"/>
    <x v="91"/>
    <x v="3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379"/>
    <x v="98"/>
    <x v="28"/>
    <x v="28"/>
    <x v="3"/>
    <x v="1"/>
    <x v="375"/>
    <x v="5"/>
    <x v="0"/>
    <x v="0"/>
    <x v="54"/>
    <x v="0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380"/>
    <x v="14"/>
    <x v="7"/>
    <x v="7"/>
    <x v="3"/>
    <x v="0"/>
    <x v="376"/>
    <x v="7"/>
    <x v="0"/>
    <x v="0"/>
    <x v="82"/>
    <x v="0"/>
    <x v="24"/>
    <x v="0"/>
    <x v="0"/>
    <x v="0"/>
    <x v="0"/>
    <x v="0"/>
    <x v="0"/>
    <x v="0"/>
    <x v="0"/>
    <x v="0"/>
    <x v="0"/>
    <x v="0"/>
    <x v="0"/>
    <x v="0"/>
    <x v="0"/>
    <x v="0"/>
    <x v="0"/>
  </r>
  <r>
    <x v="381"/>
    <x v="128"/>
    <x v="12"/>
    <x v="12"/>
    <x v="5"/>
    <x v="2"/>
    <x v="377"/>
    <x v="3"/>
    <x v="3"/>
    <x v="0"/>
    <x v="99"/>
    <x v="3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382"/>
    <x v="217"/>
    <x v="36"/>
    <x v="36"/>
    <x v="2"/>
    <x v="2"/>
    <x v="378"/>
    <x v="6"/>
    <x v="3"/>
    <x v="0"/>
    <x v="60"/>
    <x v="3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383"/>
    <x v="108"/>
    <x v="1"/>
    <x v="1"/>
    <x v="1"/>
    <x v="1"/>
    <x v="379"/>
    <x v="6"/>
    <x v="3"/>
    <x v="0"/>
    <x v="9"/>
    <x v="3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384"/>
    <x v="227"/>
    <x v="39"/>
    <x v="39"/>
    <x v="1"/>
    <x v="1"/>
    <x v="380"/>
    <x v="6"/>
    <x v="0"/>
    <x v="0"/>
    <x v="72"/>
    <x v="0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385"/>
    <x v="229"/>
    <x v="20"/>
    <x v="20"/>
    <x v="0"/>
    <x v="3"/>
    <x v="381"/>
    <x v="1"/>
    <x v="3"/>
    <x v="0"/>
    <x v="34"/>
    <x v="3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386"/>
    <x v="90"/>
    <x v="17"/>
    <x v="17"/>
    <x v="6"/>
    <x v="3"/>
    <x v="382"/>
    <x v="1"/>
    <x v="3"/>
    <x v="0"/>
    <x v="19"/>
    <x v="3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387"/>
    <x v="230"/>
    <x v="21"/>
    <x v="21"/>
    <x v="5"/>
    <x v="2"/>
    <x v="383"/>
    <x v="3"/>
    <x v="0"/>
    <x v="0"/>
    <x v="57"/>
    <x v="0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388"/>
    <x v="220"/>
    <x v="9"/>
    <x v="9"/>
    <x v="1"/>
    <x v="3"/>
    <x v="384"/>
    <x v="4"/>
    <x v="3"/>
    <x v="0"/>
    <x v="33"/>
    <x v="3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389"/>
    <x v="231"/>
    <x v="22"/>
    <x v="22"/>
    <x v="6"/>
    <x v="3"/>
    <x v="385"/>
    <x v="1"/>
    <x v="1"/>
    <x v="0"/>
    <x v="3"/>
    <x v="1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390"/>
    <x v="208"/>
    <x v="4"/>
    <x v="4"/>
    <x v="3"/>
    <x v="3"/>
    <x v="386"/>
    <x v="8"/>
    <x v="0"/>
    <x v="0"/>
    <x v="51"/>
    <x v="0"/>
    <x v="24"/>
    <x v="0"/>
    <x v="0"/>
    <x v="0"/>
    <x v="0"/>
    <x v="0"/>
    <x v="0"/>
    <x v="0"/>
    <x v="0"/>
    <x v="0"/>
    <x v="0"/>
    <x v="0"/>
    <x v="0"/>
    <x v="0"/>
    <x v="0"/>
    <x v="0"/>
    <x v="0"/>
  </r>
  <r>
    <x v="391"/>
    <x v="232"/>
    <x v="3"/>
    <x v="3"/>
    <x v="2"/>
    <x v="2"/>
    <x v="387"/>
    <x v="6"/>
    <x v="1"/>
    <x v="0"/>
    <x v="19"/>
    <x v="1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392"/>
    <x v="169"/>
    <x v="33"/>
    <x v="33"/>
    <x v="6"/>
    <x v="0"/>
    <x v="388"/>
    <x v="1"/>
    <x v="3"/>
    <x v="0"/>
    <x v="27"/>
    <x v="3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393"/>
    <x v="153"/>
    <x v="6"/>
    <x v="6"/>
    <x v="2"/>
    <x v="3"/>
    <x v="389"/>
    <x v="0"/>
    <x v="1"/>
    <x v="0"/>
    <x v="11"/>
    <x v="1"/>
    <x v="19"/>
    <x v="0"/>
    <x v="0"/>
    <x v="0"/>
    <x v="0"/>
    <x v="0"/>
    <x v="0"/>
    <x v="0"/>
    <x v="0"/>
    <x v="0"/>
    <x v="0"/>
    <x v="0"/>
    <x v="0"/>
    <x v="0"/>
    <x v="0"/>
    <x v="0"/>
    <x v="0"/>
  </r>
  <r>
    <x v="394"/>
    <x v="194"/>
    <x v="28"/>
    <x v="28"/>
    <x v="3"/>
    <x v="1"/>
    <x v="390"/>
    <x v="0"/>
    <x v="1"/>
    <x v="0"/>
    <x v="91"/>
    <x v="1"/>
    <x v="7"/>
    <x v="1"/>
    <x v="0"/>
    <x v="0"/>
    <x v="0"/>
    <x v="0"/>
    <x v="0"/>
    <x v="0"/>
    <x v="0"/>
    <x v="0"/>
    <x v="0"/>
    <x v="0"/>
    <x v="0"/>
    <x v="0"/>
    <x v="0"/>
    <x v="0"/>
    <x v="0"/>
  </r>
  <r>
    <x v="395"/>
    <x v="233"/>
    <x v="13"/>
    <x v="13"/>
    <x v="3"/>
    <x v="1"/>
    <x v="391"/>
    <x v="6"/>
    <x v="1"/>
    <x v="1"/>
    <x v="44"/>
    <x v="1"/>
    <x v="4"/>
    <x v="0"/>
    <x v="0"/>
    <x v="0"/>
    <x v="0"/>
    <x v="0"/>
    <x v="0"/>
    <x v="0"/>
    <x v="0"/>
    <x v="0"/>
    <x v="0"/>
    <x v="0"/>
    <x v="0"/>
    <x v="0"/>
    <x v="0"/>
    <x v="0"/>
    <x v="0"/>
  </r>
  <r>
    <x v="396"/>
    <x v="177"/>
    <x v="22"/>
    <x v="22"/>
    <x v="6"/>
    <x v="3"/>
    <x v="392"/>
    <x v="6"/>
    <x v="1"/>
    <x v="0"/>
    <x v="88"/>
    <x v="1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397"/>
    <x v="234"/>
    <x v="23"/>
    <x v="23"/>
    <x v="6"/>
    <x v="3"/>
    <x v="393"/>
    <x v="7"/>
    <x v="0"/>
    <x v="0"/>
    <x v="94"/>
    <x v="0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398"/>
    <x v="235"/>
    <x v="37"/>
    <x v="37"/>
    <x v="1"/>
    <x v="2"/>
    <x v="394"/>
    <x v="2"/>
    <x v="2"/>
    <x v="0"/>
    <x v="29"/>
    <x v="2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399"/>
    <x v="88"/>
    <x v="3"/>
    <x v="3"/>
    <x v="2"/>
    <x v="2"/>
    <x v="395"/>
    <x v="4"/>
    <x v="1"/>
    <x v="1"/>
    <x v="61"/>
    <x v="1"/>
    <x v="11"/>
    <x v="1"/>
    <x v="0"/>
    <x v="0"/>
    <x v="0"/>
    <x v="0"/>
    <x v="0"/>
    <x v="0"/>
    <x v="0"/>
    <x v="0"/>
    <x v="0"/>
    <x v="0"/>
    <x v="0"/>
    <x v="0"/>
    <x v="0"/>
    <x v="0"/>
    <x v="0"/>
  </r>
  <r>
    <x v="400"/>
    <x v="236"/>
    <x v="28"/>
    <x v="28"/>
    <x v="3"/>
    <x v="1"/>
    <x v="396"/>
    <x v="1"/>
    <x v="1"/>
    <x v="0"/>
    <x v="75"/>
    <x v="1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401"/>
    <x v="139"/>
    <x v="30"/>
    <x v="30"/>
    <x v="6"/>
    <x v="1"/>
    <x v="397"/>
    <x v="5"/>
    <x v="3"/>
    <x v="0"/>
    <x v="18"/>
    <x v="3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402"/>
    <x v="138"/>
    <x v="15"/>
    <x v="15"/>
    <x v="6"/>
    <x v="3"/>
    <x v="398"/>
    <x v="7"/>
    <x v="1"/>
    <x v="0"/>
    <x v="80"/>
    <x v="1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403"/>
    <x v="119"/>
    <x v="31"/>
    <x v="31"/>
    <x v="3"/>
    <x v="1"/>
    <x v="399"/>
    <x v="7"/>
    <x v="1"/>
    <x v="2"/>
    <x v="22"/>
    <x v="1"/>
    <x v="1"/>
    <x v="0"/>
    <x v="0"/>
    <x v="0"/>
    <x v="0"/>
    <x v="0"/>
    <x v="0"/>
    <x v="0"/>
    <x v="0"/>
    <x v="0"/>
    <x v="0"/>
    <x v="0"/>
    <x v="0"/>
    <x v="0"/>
    <x v="0"/>
    <x v="0"/>
    <x v="0"/>
  </r>
  <r>
    <x v="404"/>
    <x v="78"/>
    <x v="34"/>
    <x v="34"/>
    <x v="3"/>
    <x v="0"/>
    <x v="400"/>
    <x v="4"/>
    <x v="0"/>
    <x v="0"/>
    <x v="70"/>
    <x v="0"/>
    <x v="5"/>
    <x v="0"/>
    <x v="0"/>
    <x v="0"/>
    <x v="0"/>
    <x v="0"/>
    <x v="0"/>
    <x v="0"/>
    <x v="0"/>
    <x v="0"/>
    <x v="0"/>
    <x v="0"/>
    <x v="0"/>
    <x v="0"/>
    <x v="0"/>
    <x v="0"/>
    <x v="0"/>
  </r>
  <r>
    <x v="405"/>
    <x v="27"/>
    <x v="25"/>
    <x v="25"/>
    <x v="5"/>
    <x v="3"/>
    <x v="401"/>
    <x v="1"/>
    <x v="0"/>
    <x v="0"/>
    <x v="5"/>
    <x v="0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406"/>
    <x v="18"/>
    <x v="16"/>
    <x v="16"/>
    <x v="3"/>
    <x v="3"/>
    <x v="402"/>
    <x v="3"/>
    <x v="2"/>
    <x v="0"/>
    <x v="87"/>
    <x v="2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407"/>
    <x v="11"/>
    <x v="18"/>
    <x v="18"/>
    <x v="6"/>
    <x v="2"/>
    <x v="403"/>
    <x v="7"/>
    <x v="2"/>
    <x v="0"/>
    <x v="89"/>
    <x v="2"/>
    <x v="5"/>
    <x v="0"/>
    <x v="0"/>
    <x v="0"/>
    <x v="0"/>
    <x v="0"/>
    <x v="0"/>
    <x v="0"/>
    <x v="0"/>
    <x v="0"/>
    <x v="0"/>
    <x v="0"/>
    <x v="0"/>
    <x v="0"/>
    <x v="0"/>
    <x v="0"/>
    <x v="0"/>
  </r>
  <r>
    <x v="408"/>
    <x v="133"/>
    <x v="32"/>
    <x v="32"/>
    <x v="4"/>
    <x v="2"/>
    <x v="404"/>
    <x v="6"/>
    <x v="1"/>
    <x v="0"/>
    <x v="44"/>
    <x v="1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409"/>
    <x v="237"/>
    <x v="11"/>
    <x v="11"/>
    <x v="0"/>
    <x v="3"/>
    <x v="405"/>
    <x v="8"/>
    <x v="1"/>
    <x v="0"/>
    <x v="21"/>
    <x v="1"/>
    <x v="1"/>
    <x v="0"/>
    <x v="0"/>
    <x v="0"/>
    <x v="0"/>
    <x v="0"/>
    <x v="0"/>
    <x v="0"/>
    <x v="0"/>
    <x v="0"/>
    <x v="0"/>
    <x v="0"/>
    <x v="0"/>
    <x v="0"/>
    <x v="0"/>
    <x v="0"/>
    <x v="0"/>
  </r>
  <r>
    <x v="410"/>
    <x v="123"/>
    <x v="17"/>
    <x v="17"/>
    <x v="6"/>
    <x v="3"/>
    <x v="406"/>
    <x v="3"/>
    <x v="1"/>
    <x v="0"/>
    <x v="95"/>
    <x v="1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411"/>
    <x v="238"/>
    <x v="35"/>
    <x v="35"/>
    <x v="3"/>
    <x v="3"/>
    <x v="407"/>
    <x v="6"/>
    <x v="1"/>
    <x v="0"/>
    <x v="36"/>
    <x v="1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412"/>
    <x v="239"/>
    <x v="24"/>
    <x v="24"/>
    <x v="2"/>
    <x v="0"/>
    <x v="408"/>
    <x v="7"/>
    <x v="2"/>
    <x v="0"/>
    <x v="58"/>
    <x v="2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413"/>
    <x v="213"/>
    <x v="29"/>
    <x v="29"/>
    <x v="1"/>
    <x v="3"/>
    <x v="409"/>
    <x v="2"/>
    <x v="3"/>
    <x v="0"/>
    <x v="82"/>
    <x v="3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414"/>
    <x v="89"/>
    <x v="27"/>
    <x v="27"/>
    <x v="3"/>
    <x v="0"/>
    <x v="410"/>
    <x v="2"/>
    <x v="3"/>
    <x v="0"/>
    <x v="38"/>
    <x v="3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415"/>
    <x v="240"/>
    <x v="35"/>
    <x v="35"/>
    <x v="3"/>
    <x v="3"/>
    <x v="411"/>
    <x v="1"/>
    <x v="1"/>
    <x v="0"/>
    <x v="66"/>
    <x v="1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416"/>
    <x v="188"/>
    <x v="8"/>
    <x v="8"/>
    <x v="4"/>
    <x v="3"/>
    <x v="412"/>
    <x v="5"/>
    <x v="3"/>
    <x v="1"/>
    <x v="83"/>
    <x v="3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417"/>
    <x v="183"/>
    <x v="4"/>
    <x v="4"/>
    <x v="3"/>
    <x v="3"/>
    <x v="413"/>
    <x v="1"/>
    <x v="1"/>
    <x v="0"/>
    <x v="19"/>
    <x v="1"/>
    <x v="3"/>
    <x v="0"/>
    <x v="0"/>
    <x v="0"/>
    <x v="0"/>
    <x v="0"/>
    <x v="0"/>
    <x v="0"/>
    <x v="0"/>
    <x v="0"/>
    <x v="0"/>
    <x v="0"/>
    <x v="0"/>
    <x v="0"/>
    <x v="0"/>
    <x v="0"/>
    <x v="0"/>
  </r>
  <r>
    <x v="418"/>
    <x v="103"/>
    <x v="1"/>
    <x v="1"/>
    <x v="1"/>
    <x v="1"/>
    <x v="414"/>
    <x v="7"/>
    <x v="1"/>
    <x v="0"/>
    <x v="53"/>
    <x v="1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419"/>
    <x v="241"/>
    <x v="14"/>
    <x v="14"/>
    <x v="2"/>
    <x v="2"/>
    <x v="415"/>
    <x v="1"/>
    <x v="0"/>
    <x v="0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420"/>
    <x v="37"/>
    <x v="39"/>
    <x v="39"/>
    <x v="1"/>
    <x v="1"/>
    <x v="416"/>
    <x v="4"/>
    <x v="1"/>
    <x v="0"/>
    <x v="75"/>
    <x v="1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421"/>
    <x v="3"/>
    <x v="8"/>
    <x v="8"/>
    <x v="4"/>
    <x v="3"/>
    <x v="417"/>
    <x v="1"/>
    <x v="1"/>
    <x v="0"/>
    <x v="38"/>
    <x v="1"/>
    <x v="19"/>
    <x v="0"/>
    <x v="0"/>
    <x v="0"/>
    <x v="0"/>
    <x v="0"/>
    <x v="0"/>
    <x v="0"/>
    <x v="0"/>
    <x v="0"/>
    <x v="0"/>
    <x v="0"/>
    <x v="0"/>
    <x v="0"/>
    <x v="0"/>
    <x v="0"/>
    <x v="0"/>
  </r>
  <r>
    <x v="422"/>
    <x v="242"/>
    <x v="37"/>
    <x v="37"/>
    <x v="1"/>
    <x v="2"/>
    <x v="418"/>
    <x v="7"/>
    <x v="0"/>
    <x v="0"/>
    <x v="42"/>
    <x v="0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423"/>
    <x v="243"/>
    <x v="8"/>
    <x v="8"/>
    <x v="4"/>
    <x v="3"/>
    <x v="419"/>
    <x v="6"/>
    <x v="3"/>
    <x v="0"/>
    <x v="88"/>
    <x v="3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424"/>
    <x v="244"/>
    <x v="0"/>
    <x v="0"/>
    <x v="0"/>
    <x v="0"/>
    <x v="420"/>
    <x v="1"/>
    <x v="1"/>
    <x v="0"/>
    <x v="70"/>
    <x v="1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425"/>
    <x v="107"/>
    <x v="30"/>
    <x v="30"/>
    <x v="6"/>
    <x v="1"/>
    <x v="421"/>
    <x v="3"/>
    <x v="2"/>
    <x v="0"/>
    <x v="65"/>
    <x v="2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426"/>
    <x v="245"/>
    <x v="27"/>
    <x v="27"/>
    <x v="3"/>
    <x v="0"/>
    <x v="422"/>
    <x v="5"/>
    <x v="0"/>
    <x v="0"/>
    <x v="63"/>
    <x v="0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427"/>
    <x v="166"/>
    <x v="4"/>
    <x v="4"/>
    <x v="3"/>
    <x v="3"/>
    <x v="423"/>
    <x v="5"/>
    <x v="1"/>
    <x v="0"/>
    <x v="52"/>
    <x v="1"/>
    <x v="25"/>
    <x v="0"/>
    <x v="0"/>
    <x v="0"/>
    <x v="0"/>
    <x v="0"/>
    <x v="0"/>
    <x v="0"/>
    <x v="0"/>
    <x v="0"/>
    <x v="0"/>
    <x v="0"/>
    <x v="0"/>
    <x v="0"/>
    <x v="0"/>
    <x v="0"/>
    <x v="0"/>
  </r>
  <r>
    <x v="428"/>
    <x v="246"/>
    <x v="0"/>
    <x v="0"/>
    <x v="0"/>
    <x v="0"/>
    <x v="424"/>
    <x v="5"/>
    <x v="1"/>
    <x v="0"/>
    <x v="99"/>
    <x v="1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429"/>
    <x v="247"/>
    <x v="8"/>
    <x v="8"/>
    <x v="4"/>
    <x v="3"/>
    <x v="425"/>
    <x v="1"/>
    <x v="1"/>
    <x v="0"/>
    <x v="56"/>
    <x v="1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430"/>
    <x v="138"/>
    <x v="13"/>
    <x v="13"/>
    <x v="3"/>
    <x v="1"/>
    <x v="426"/>
    <x v="1"/>
    <x v="0"/>
    <x v="0"/>
    <x v="57"/>
    <x v="0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431"/>
    <x v="207"/>
    <x v="21"/>
    <x v="21"/>
    <x v="5"/>
    <x v="2"/>
    <x v="427"/>
    <x v="4"/>
    <x v="1"/>
    <x v="0"/>
    <x v="28"/>
    <x v="1"/>
    <x v="6"/>
    <x v="0"/>
    <x v="0"/>
    <x v="0"/>
    <x v="0"/>
    <x v="0"/>
    <x v="0"/>
    <x v="0"/>
    <x v="0"/>
    <x v="0"/>
    <x v="0"/>
    <x v="0"/>
    <x v="0"/>
    <x v="0"/>
    <x v="0"/>
    <x v="0"/>
    <x v="0"/>
  </r>
  <r>
    <x v="432"/>
    <x v="248"/>
    <x v="0"/>
    <x v="0"/>
    <x v="0"/>
    <x v="0"/>
    <x v="428"/>
    <x v="1"/>
    <x v="0"/>
    <x v="0"/>
    <x v="61"/>
    <x v="0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433"/>
    <x v="249"/>
    <x v="19"/>
    <x v="19"/>
    <x v="2"/>
    <x v="1"/>
    <x v="429"/>
    <x v="1"/>
    <x v="2"/>
    <x v="0"/>
    <x v="64"/>
    <x v="2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434"/>
    <x v="250"/>
    <x v="35"/>
    <x v="35"/>
    <x v="3"/>
    <x v="3"/>
    <x v="430"/>
    <x v="5"/>
    <x v="0"/>
    <x v="0"/>
    <x v="99"/>
    <x v="0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435"/>
    <x v="9"/>
    <x v="10"/>
    <x v="10"/>
    <x v="1"/>
    <x v="2"/>
    <x v="431"/>
    <x v="6"/>
    <x v="3"/>
    <x v="0"/>
    <x v="82"/>
    <x v="3"/>
    <x v="3"/>
    <x v="0"/>
    <x v="0"/>
    <x v="0"/>
    <x v="0"/>
    <x v="0"/>
    <x v="0"/>
    <x v="0"/>
    <x v="0"/>
    <x v="0"/>
    <x v="0"/>
    <x v="0"/>
    <x v="0"/>
    <x v="0"/>
    <x v="0"/>
    <x v="0"/>
    <x v="0"/>
  </r>
  <r>
    <x v="436"/>
    <x v="193"/>
    <x v="14"/>
    <x v="14"/>
    <x v="2"/>
    <x v="2"/>
    <x v="432"/>
    <x v="4"/>
    <x v="1"/>
    <x v="0"/>
    <x v="3"/>
    <x v="1"/>
    <x v="24"/>
    <x v="0"/>
    <x v="0"/>
    <x v="0"/>
    <x v="0"/>
    <x v="0"/>
    <x v="0"/>
    <x v="0"/>
    <x v="0"/>
    <x v="0"/>
    <x v="0"/>
    <x v="0"/>
    <x v="0"/>
    <x v="0"/>
    <x v="0"/>
    <x v="0"/>
    <x v="0"/>
  </r>
  <r>
    <x v="437"/>
    <x v="251"/>
    <x v="1"/>
    <x v="1"/>
    <x v="1"/>
    <x v="1"/>
    <x v="433"/>
    <x v="5"/>
    <x v="3"/>
    <x v="0"/>
    <x v="43"/>
    <x v="3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438"/>
    <x v="14"/>
    <x v="20"/>
    <x v="20"/>
    <x v="0"/>
    <x v="3"/>
    <x v="434"/>
    <x v="6"/>
    <x v="1"/>
    <x v="0"/>
    <x v="63"/>
    <x v="1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439"/>
    <x v="109"/>
    <x v="24"/>
    <x v="24"/>
    <x v="2"/>
    <x v="0"/>
    <x v="435"/>
    <x v="1"/>
    <x v="1"/>
    <x v="0"/>
    <x v="83"/>
    <x v="1"/>
    <x v="19"/>
    <x v="0"/>
    <x v="0"/>
    <x v="0"/>
    <x v="0"/>
    <x v="0"/>
    <x v="0"/>
    <x v="0"/>
    <x v="0"/>
    <x v="0"/>
    <x v="0"/>
    <x v="0"/>
    <x v="0"/>
    <x v="0"/>
    <x v="0"/>
    <x v="0"/>
    <x v="0"/>
  </r>
  <r>
    <x v="440"/>
    <x v="250"/>
    <x v="36"/>
    <x v="36"/>
    <x v="2"/>
    <x v="2"/>
    <x v="436"/>
    <x v="1"/>
    <x v="3"/>
    <x v="0"/>
    <x v="27"/>
    <x v="3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441"/>
    <x v="252"/>
    <x v="3"/>
    <x v="3"/>
    <x v="2"/>
    <x v="2"/>
    <x v="437"/>
    <x v="8"/>
    <x v="1"/>
    <x v="0"/>
    <x v="39"/>
    <x v="1"/>
    <x v="11"/>
    <x v="1"/>
    <x v="0"/>
    <x v="0"/>
    <x v="0"/>
    <x v="0"/>
    <x v="0"/>
    <x v="0"/>
    <x v="0"/>
    <x v="0"/>
    <x v="0"/>
    <x v="0"/>
    <x v="0"/>
    <x v="0"/>
    <x v="0"/>
    <x v="0"/>
    <x v="0"/>
  </r>
  <r>
    <x v="442"/>
    <x v="58"/>
    <x v="18"/>
    <x v="18"/>
    <x v="6"/>
    <x v="2"/>
    <x v="438"/>
    <x v="4"/>
    <x v="0"/>
    <x v="0"/>
    <x v="35"/>
    <x v="0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443"/>
    <x v="60"/>
    <x v="14"/>
    <x v="14"/>
    <x v="2"/>
    <x v="2"/>
    <x v="439"/>
    <x v="5"/>
    <x v="0"/>
    <x v="0"/>
    <x v="16"/>
    <x v="0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444"/>
    <x v="165"/>
    <x v="6"/>
    <x v="6"/>
    <x v="2"/>
    <x v="3"/>
    <x v="440"/>
    <x v="8"/>
    <x v="2"/>
    <x v="0"/>
    <x v="87"/>
    <x v="2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445"/>
    <x v="1"/>
    <x v="16"/>
    <x v="16"/>
    <x v="3"/>
    <x v="3"/>
    <x v="441"/>
    <x v="3"/>
    <x v="0"/>
    <x v="0"/>
    <x v="34"/>
    <x v="0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446"/>
    <x v="74"/>
    <x v="16"/>
    <x v="16"/>
    <x v="3"/>
    <x v="3"/>
    <x v="442"/>
    <x v="1"/>
    <x v="1"/>
    <x v="0"/>
    <x v="23"/>
    <x v="1"/>
    <x v="25"/>
    <x v="0"/>
    <x v="0"/>
    <x v="0"/>
    <x v="0"/>
    <x v="0"/>
    <x v="0"/>
    <x v="0"/>
    <x v="0"/>
    <x v="0"/>
    <x v="0"/>
    <x v="0"/>
    <x v="0"/>
    <x v="0"/>
    <x v="0"/>
    <x v="0"/>
    <x v="0"/>
  </r>
  <r>
    <x v="447"/>
    <x v="77"/>
    <x v="0"/>
    <x v="0"/>
    <x v="0"/>
    <x v="0"/>
    <x v="443"/>
    <x v="2"/>
    <x v="0"/>
    <x v="0"/>
    <x v="59"/>
    <x v="0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448"/>
    <x v="195"/>
    <x v="0"/>
    <x v="0"/>
    <x v="0"/>
    <x v="0"/>
    <x v="444"/>
    <x v="7"/>
    <x v="1"/>
    <x v="0"/>
    <x v="15"/>
    <x v="1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449"/>
    <x v="253"/>
    <x v="8"/>
    <x v="8"/>
    <x v="4"/>
    <x v="3"/>
    <x v="445"/>
    <x v="8"/>
    <x v="1"/>
    <x v="0"/>
    <x v="75"/>
    <x v="1"/>
    <x v="7"/>
    <x v="0"/>
    <x v="0"/>
    <x v="0"/>
    <x v="0"/>
    <x v="0"/>
    <x v="0"/>
    <x v="0"/>
    <x v="0"/>
    <x v="0"/>
    <x v="0"/>
    <x v="0"/>
    <x v="0"/>
    <x v="0"/>
    <x v="0"/>
    <x v="0"/>
    <x v="0"/>
  </r>
  <r>
    <x v="450"/>
    <x v="209"/>
    <x v="11"/>
    <x v="11"/>
    <x v="0"/>
    <x v="3"/>
    <x v="446"/>
    <x v="5"/>
    <x v="1"/>
    <x v="0"/>
    <x v="78"/>
    <x v="1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451"/>
    <x v="85"/>
    <x v="17"/>
    <x v="17"/>
    <x v="6"/>
    <x v="3"/>
    <x v="447"/>
    <x v="5"/>
    <x v="3"/>
    <x v="0"/>
    <x v="71"/>
    <x v="3"/>
    <x v="17"/>
    <x v="0"/>
    <x v="0"/>
    <x v="0"/>
    <x v="0"/>
    <x v="0"/>
    <x v="0"/>
    <x v="0"/>
    <x v="0"/>
    <x v="0"/>
    <x v="0"/>
    <x v="0"/>
    <x v="0"/>
    <x v="0"/>
    <x v="0"/>
    <x v="0"/>
    <x v="0"/>
  </r>
  <r>
    <x v="452"/>
    <x v="219"/>
    <x v="21"/>
    <x v="21"/>
    <x v="5"/>
    <x v="2"/>
    <x v="448"/>
    <x v="7"/>
    <x v="1"/>
    <x v="0"/>
    <x v="60"/>
    <x v="1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453"/>
    <x v="10"/>
    <x v="25"/>
    <x v="25"/>
    <x v="5"/>
    <x v="3"/>
    <x v="449"/>
    <x v="2"/>
    <x v="1"/>
    <x v="0"/>
    <x v="10"/>
    <x v="1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454"/>
    <x v="119"/>
    <x v="34"/>
    <x v="34"/>
    <x v="3"/>
    <x v="0"/>
    <x v="450"/>
    <x v="6"/>
    <x v="0"/>
    <x v="0"/>
    <x v="21"/>
    <x v="0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455"/>
    <x v="19"/>
    <x v="0"/>
    <x v="0"/>
    <x v="0"/>
    <x v="0"/>
    <x v="451"/>
    <x v="6"/>
    <x v="2"/>
    <x v="0"/>
    <x v="78"/>
    <x v="2"/>
    <x v="7"/>
    <x v="0"/>
    <x v="0"/>
    <x v="0"/>
    <x v="0"/>
    <x v="0"/>
    <x v="0"/>
    <x v="0"/>
    <x v="0"/>
    <x v="0"/>
    <x v="0"/>
    <x v="0"/>
    <x v="0"/>
    <x v="0"/>
    <x v="0"/>
    <x v="0"/>
    <x v="0"/>
  </r>
  <r>
    <x v="456"/>
    <x v="233"/>
    <x v="28"/>
    <x v="28"/>
    <x v="3"/>
    <x v="1"/>
    <x v="452"/>
    <x v="3"/>
    <x v="2"/>
    <x v="0"/>
    <x v="87"/>
    <x v="2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457"/>
    <x v="179"/>
    <x v="33"/>
    <x v="33"/>
    <x v="6"/>
    <x v="0"/>
    <x v="453"/>
    <x v="2"/>
    <x v="1"/>
    <x v="0"/>
    <x v="70"/>
    <x v="1"/>
    <x v="6"/>
    <x v="0"/>
    <x v="0"/>
    <x v="0"/>
    <x v="0"/>
    <x v="0"/>
    <x v="0"/>
    <x v="0"/>
    <x v="0"/>
    <x v="0"/>
    <x v="0"/>
    <x v="0"/>
    <x v="0"/>
    <x v="0"/>
    <x v="0"/>
    <x v="0"/>
    <x v="0"/>
  </r>
  <r>
    <x v="458"/>
    <x v="201"/>
    <x v="2"/>
    <x v="2"/>
    <x v="1"/>
    <x v="1"/>
    <x v="454"/>
    <x v="2"/>
    <x v="1"/>
    <x v="0"/>
    <x v="27"/>
    <x v="1"/>
    <x v="4"/>
    <x v="0"/>
    <x v="0"/>
    <x v="0"/>
    <x v="0"/>
    <x v="0"/>
    <x v="0"/>
    <x v="0"/>
    <x v="0"/>
    <x v="0"/>
    <x v="0"/>
    <x v="0"/>
    <x v="0"/>
    <x v="0"/>
    <x v="0"/>
    <x v="0"/>
    <x v="0"/>
  </r>
  <r>
    <x v="459"/>
    <x v="71"/>
    <x v="8"/>
    <x v="8"/>
    <x v="4"/>
    <x v="3"/>
    <x v="455"/>
    <x v="7"/>
    <x v="0"/>
    <x v="0"/>
    <x v="39"/>
    <x v="0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460"/>
    <x v="254"/>
    <x v="29"/>
    <x v="29"/>
    <x v="1"/>
    <x v="3"/>
    <x v="456"/>
    <x v="7"/>
    <x v="2"/>
    <x v="0"/>
    <x v="87"/>
    <x v="2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461"/>
    <x v="99"/>
    <x v="19"/>
    <x v="19"/>
    <x v="2"/>
    <x v="1"/>
    <x v="457"/>
    <x v="6"/>
    <x v="1"/>
    <x v="0"/>
    <x v="32"/>
    <x v="1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462"/>
    <x v="240"/>
    <x v="11"/>
    <x v="11"/>
    <x v="0"/>
    <x v="3"/>
    <x v="458"/>
    <x v="1"/>
    <x v="2"/>
    <x v="0"/>
    <x v="70"/>
    <x v="2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463"/>
    <x v="35"/>
    <x v="12"/>
    <x v="12"/>
    <x v="5"/>
    <x v="2"/>
    <x v="459"/>
    <x v="3"/>
    <x v="1"/>
    <x v="0"/>
    <x v="34"/>
    <x v="1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464"/>
    <x v="255"/>
    <x v="8"/>
    <x v="8"/>
    <x v="4"/>
    <x v="3"/>
    <x v="460"/>
    <x v="5"/>
    <x v="1"/>
    <x v="0"/>
    <x v="15"/>
    <x v="1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465"/>
    <x v="32"/>
    <x v="7"/>
    <x v="7"/>
    <x v="3"/>
    <x v="0"/>
    <x v="461"/>
    <x v="7"/>
    <x v="1"/>
    <x v="0"/>
    <x v="35"/>
    <x v="1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466"/>
    <x v="92"/>
    <x v="10"/>
    <x v="10"/>
    <x v="1"/>
    <x v="2"/>
    <x v="462"/>
    <x v="6"/>
    <x v="1"/>
    <x v="0"/>
    <x v="2"/>
    <x v="1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467"/>
    <x v="185"/>
    <x v="0"/>
    <x v="0"/>
    <x v="0"/>
    <x v="0"/>
    <x v="463"/>
    <x v="1"/>
    <x v="0"/>
    <x v="0"/>
    <x v="23"/>
    <x v="0"/>
    <x v="1"/>
    <x v="0"/>
    <x v="0"/>
    <x v="0"/>
    <x v="0"/>
    <x v="0"/>
    <x v="0"/>
    <x v="0"/>
    <x v="0"/>
    <x v="0"/>
    <x v="0"/>
    <x v="0"/>
    <x v="0"/>
    <x v="0"/>
    <x v="0"/>
    <x v="0"/>
    <x v="0"/>
  </r>
  <r>
    <x v="468"/>
    <x v="256"/>
    <x v="7"/>
    <x v="7"/>
    <x v="3"/>
    <x v="0"/>
    <x v="464"/>
    <x v="7"/>
    <x v="3"/>
    <x v="0"/>
    <x v="38"/>
    <x v="3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469"/>
    <x v="6"/>
    <x v="21"/>
    <x v="21"/>
    <x v="5"/>
    <x v="2"/>
    <x v="465"/>
    <x v="5"/>
    <x v="3"/>
    <x v="0"/>
    <x v="24"/>
    <x v="3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470"/>
    <x v="83"/>
    <x v="4"/>
    <x v="4"/>
    <x v="3"/>
    <x v="3"/>
    <x v="76"/>
    <x v="1"/>
    <x v="1"/>
    <x v="0"/>
    <x v="20"/>
    <x v="1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471"/>
    <x v="100"/>
    <x v="20"/>
    <x v="20"/>
    <x v="0"/>
    <x v="3"/>
    <x v="466"/>
    <x v="5"/>
    <x v="2"/>
    <x v="0"/>
    <x v="83"/>
    <x v="2"/>
    <x v="11"/>
    <x v="0"/>
    <x v="0"/>
    <x v="0"/>
    <x v="0"/>
    <x v="0"/>
    <x v="0"/>
    <x v="0"/>
    <x v="0"/>
    <x v="0"/>
    <x v="0"/>
    <x v="0"/>
    <x v="0"/>
    <x v="0"/>
    <x v="0"/>
    <x v="0"/>
    <x v="0"/>
  </r>
  <r>
    <x v="472"/>
    <x v="257"/>
    <x v="18"/>
    <x v="18"/>
    <x v="6"/>
    <x v="2"/>
    <x v="467"/>
    <x v="1"/>
    <x v="1"/>
    <x v="0"/>
    <x v="78"/>
    <x v="1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473"/>
    <x v="15"/>
    <x v="21"/>
    <x v="21"/>
    <x v="5"/>
    <x v="2"/>
    <x v="468"/>
    <x v="3"/>
    <x v="1"/>
    <x v="1"/>
    <x v="74"/>
    <x v="1"/>
    <x v="19"/>
    <x v="0"/>
    <x v="0"/>
    <x v="0"/>
    <x v="0"/>
    <x v="0"/>
    <x v="0"/>
    <x v="0"/>
    <x v="0"/>
    <x v="0"/>
    <x v="0"/>
    <x v="0"/>
    <x v="0"/>
    <x v="0"/>
    <x v="0"/>
    <x v="0"/>
    <x v="0"/>
  </r>
  <r>
    <x v="474"/>
    <x v="167"/>
    <x v="19"/>
    <x v="19"/>
    <x v="2"/>
    <x v="1"/>
    <x v="469"/>
    <x v="1"/>
    <x v="2"/>
    <x v="0"/>
    <x v="56"/>
    <x v="2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475"/>
    <x v="258"/>
    <x v="20"/>
    <x v="20"/>
    <x v="0"/>
    <x v="3"/>
    <x v="470"/>
    <x v="1"/>
    <x v="2"/>
    <x v="1"/>
    <x v="4"/>
    <x v="2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476"/>
    <x v="259"/>
    <x v="8"/>
    <x v="8"/>
    <x v="4"/>
    <x v="3"/>
    <x v="471"/>
    <x v="2"/>
    <x v="1"/>
    <x v="0"/>
    <x v="44"/>
    <x v="1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477"/>
    <x v="260"/>
    <x v="27"/>
    <x v="27"/>
    <x v="3"/>
    <x v="0"/>
    <x v="472"/>
    <x v="5"/>
    <x v="0"/>
    <x v="0"/>
    <x v="71"/>
    <x v="0"/>
    <x v="13"/>
    <x v="0"/>
    <x v="0"/>
    <x v="0"/>
    <x v="0"/>
    <x v="0"/>
    <x v="0"/>
    <x v="0"/>
    <x v="0"/>
    <x v="0"/>
    <x v="0"/>
    <x v="0"/>
    <x v="0"/>
    <x v="0"/>
    <x v="0"/>
    <x v="0"/>
    <x v="0"/>
  </r>
  <r>
    <x v="478"/>
    <x v="195"/>
    <x v="32"/>
    <x v="32"/>
    <x v="4"/>
    <x v="2"/>
    <x v="473"/>
    <x v="1"/>
    <x v="1"/>
    <x v="0"/>
    <x v="61"/>
    <x v="1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479"/>
    <x v="258"/>
    <x v="14"/>
    <x v="14"/>
    <x v="2"/>
    <x v="2"/>
    <x v="474"/>
    <x v="3"/>
    <x v="0"/>
    <x v="0"/>
    <x v="16"/>
    <x v="0"/>
    <x v="4"/>
    <x v="0"/>
    <x v="0"/>
    <x v="0"/>
    <x v="0"/>
    <x v="0"/>
    <x v="0"/>
    <x v="0"/>
    <x v="0"/>
    <x v="0"/>
    <x v="0"/>
    <x v="0"/>
    <x v="0"/>
    <x v="0"/>
    <x v="0"/>
    <x v="0"/>
    <x v="0"/>
  </r>
  <r>
    <x v="480"/>
    <x v="102"/>
    <x v="39"/>
    <x v="39"/>
    <x v="1"/>
    <x v="1"/>
    <x v="475"/>
    <x v="1"/>
    <x v="0"/>
    <x v="1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481"/>
    <x v="261"/>
    <x v="29"/>
    <x v="29"/>
    <x v="1"/>
    <x v="3"/>
    <x v="476"/>
    <x v="2"/>
    <x v="1"/>
    <x v="0"/>
    <x v="74"/>
    <x v="1"/>
    <x v="2"/>
    <x v="0"/>
    <x v="0"/>
    <x v="0"/>
    <x v="0"/>
    <x v="0"/>
    <x v="0"/>
    <x v="0"/>
    <x v="0"/>
    <x v="0"/>
    <x v="0"/>
    <x v="0"/>
    <x v="0"/>
    <x v="0"/>
    <x v="0"/>
    <x v="0"/>
    <x v="0"/>
  </r>
  <r>
    <x v="482"/>
    <x v="254"/>
    <x v="3"/>
    <x v="3"/>
    <x v="2"/>
    <x v="2"/>
    <x v="477"/>
    <x v="4"/>
    <x v="2"/>
    <x v="0"/>
    <x v="81"/>
    <x v="2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483"/>
    <x v="195"/>
    <x v="17"/>
    <x v="17"/>
    <x v="6"/>
    <x v="3"/>
    <x v="478"/>
    <x v="5"/>
    <x v="0"/>
    <x v="0"/>
    <x v="96"/>
    <x v="0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484"/>
    <x v="61"/>
    <x v="33"/>
    <x v="33"/>
    <x v="6"/>
    <x v="0"/>
    <x v="479"/>
    <x v="5"/>
    <x v="1"/>
    <x v="0"/>
    <x v="57"/>
    <x v="1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485"/>
    <x v="144"/>
    <x v="9"/>
    <x v="9"/>
    <x v="1"/>
    <x v="3"/>
    <x v="480"/>
    <x v="6"/>
    <x v="0"/>
    <x v="1"/>
    <x v="47"/>
    <x v="0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486"/>
    <x v="80"/>
    <x v="12"/>
    <x v="12"/>
    <x v="5"/>
    <x v="2"/>
    <x v="481"/>
    <x v="6"/>
    <x v="1"/>
    <x v="0"/>
    <x v="86"/>
    <x v="1"/>
    <x v="23"/>
    <x v="0"/>
    <x v="0"/>
    <x v="0"/>
    <x v="0"/>
    <x v="0"/>
    <x v="0"/>
    <x v="0"/>
    <x v="0"/>
    <x v="0"/>
    <x v="0"/>
    <x v="0"/>
    <x v="0"/>
    <x v="0"/>
    <x v="0"/>
    <x v="0"/>
    <x v="0"/>
  </r>
  <r>
    <x v="487"/>
    <x v="165"/>
    <x v="18"/>
    <x v="18"/>
    <x v="6"/>
    <x v="2"/>
    <x v="482"/>
    <x v="1"/>
    <x v="0"/>
    <x v="0"/>
    <x v="4"/>
    <x v="0"/>
    <x v="16"/>
    <x v="0"/>
    <x v="0"/>
    <x v="0"/>
    <x v="0"/>
    <x v="0"/>
    <x v="0"/>
    <x v="0"/>
    <x v="0"/>
    <x v="0"/>
    <x v="0"/>
    <x v="0"/>
    <x v="0"/>
    <x v="0"/>
    <x v="0"/>
    <x v="0"/>
    <x v="0"/>
  </r>
  <r>
    <x v="488"/>
    <x v="141"/>
    <x v="34"/>
    <x v="34"/>
    <x v="3"/>
    <x v="0"/>
    <x v="483"/>
    <x v="1"/>
    <x v="2"/>
    <x v="2"/>
    <x v="99"/>
    <x v="2"/>
    <x v="14"/>
    <x v="0"/>
    <x v="0"/>
    <x v="0"/>
    <x v="0"/>
    <x v="0"/>
    <x v="0"/>
    <x v="0"/>
    <x v="0"/>
    <x v="0"/>
    <x v="0"/>
    <x v="0"/>
    <x v="0"/>
    <x v="0"/>
    <x v="0"/>
    <x v="0"/>
    <x v="0"/>
  </r>
  <r>
    <x v="489"/>
    <x v="232"/>
    <x v="18"/>
    <x v="18"/>
    <x v="6"/>
    <x v="2"/>
    <x v="484"/>
    <x v="2"/>
    <x v="3"/>
    <x v="0"/>
    <x v="72"/>
    <x v="3"/>
    <x v="11"/>
    <x v="0"/>
    <x v="0"/>
    <x v="0"/>
    <x v="0"/>
    <x v="0"/>
    <x v="0"/>
    <x v="0"/>
    <x v="0"/>
    <x v="0"/>
    <x v="0"/>
    <x v="0"/>
    <x v="0"/>
    <x v="0"/>
    <x v="0"/>
    <x v="0"/>
    <x v="0"/>
  </r>
  <r>
    <x v="490"/>
    <x v="262"/>
    <x v="23"/>
    <x v="23"/>
    <x v="6"/>
    <x v="3"/>
    <x v="485"/>
    <x v="6"/>
    <x v="3"/>
    <x v="0"/>
    <x v="58"/>
    <x v="3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491"/>
    <x v="137"/>
    <x v="25"/>
    <x v="25"/>
    <x v="5"/>
    <x v="3"/>
    <x v="486"/>
    <x v="3"/>
    <x v="0"/>
    <x v="0"/>
    <x v="82"/>
    <x v="0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492"/>
    <x v="47"/>
    <x v="18"/>
    <x v="18"/>
    <x v="6"/>
    <x v="2"/>
    <x v="487"/>
    <x v="4"/>
    <x v="3"/>
    <x v="0"/>
    <x v="100"/>
    <x v="3"/>
    <x v="18"/>
    <x v="0"/>
    <x v="0"/>
    <x v="0"/>
    <x v="0"/>
    <x v="0"/>
    <x v="0"/>
    <x v="0"/>
    <x v="0"/>
    <x v="0"/>
    <x v="0"/>
    <x v="0"/>
    <x v="0"/>
    <x v="0"/>
    <x v="0"/>
    <x v="0"/>
    <x v="0"/>
  </r>
  <r>
    <x v="493"/>
    <x v="170"/>
    <x v="17"/>
    <x v="17"/>
    <x v="6"/>
    <x v="3"/>
    <x v="488"/>
    <x v="4"/>
    <x v="1"/>
    <x v="0"/>
    <x v="37"/>
    <x v="1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494"/>
    <x v="131"/>
    <x v="18"/>
    <x v="18"/>
    <x v="6"/>
    <x v="2"/>
    <x v="489"/>
    <x v="1"/>
    <x v="1"/>
    <x v="0"/>
    <x v="98"/>
    <x v="1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495"/>
    <x v="263"/>
    <x v="21"/>
    <x v="21"/>
    <x v="5"/>
    <x v="2"/>
    <x v="490"/>
    <x v="7"/>
    <x v="0"/>
    <x v="0"/>
    <x v="95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496"/>
    <x v="264"/>
    <x v="39"/>
    <x v="39"/>
    <x v="1"/>
    <x v="1"/>
    <x v="491"/>
    <x v="7"/>
    <x v="1"/>
    <x v="0"/>
    <x v="4"/>
    <x v="1"/>
    <x v="4"/>
    <x v="0"/>
    <x v="0"/>
    <x v="0"/>
    <x v="0"/>
    <x v="0"/>
    <x v="0"/>
    <x v="0"/>
    <x v="0"/>
    <x v="0"/>
    <x v="0"/>
    <x v="0"/>
    <x v="0"/>
    <x v="0"/>
    <x v="0"/>
    <x v="0"/>
    <x v="0"/>
  </r>
  <r>
    <x v="497"/>
    <x v="265"/>
    <x v="32"/>
    <x v="32"/>
    <x v="4"/>
    <x v="2"/>
    <x v="492"/>
    <x v="3"/>
    <x v="1"/>
    <x v="0"/>
    <x v="45"/>
    <x v="1"/>
    <x v="27"/>
    <x v="0"/>
    <x v="0"/>
    <x v="0"/>
    <x v="0"/>
    <x v="0"/>
    <x v="0"/>
    <x v="0"/>
    <x v="0"/>
    <x v="0"/>
    <x v="0"/>
    <x v="0"/>
    <x v="0"/>
    <x v="0"/>
    <x v="0"/>
    <x v="0"/>
    <x v="0"/>
  </r>
  <r>
    <x v="498"/>
    <x v="16"/>
    <x v="20"/>
    <x v="20"/>
    <x v="0"/>
    <x v="3"/>
    <x v="493"/>
    <x v="6"/>
    <x v="0"/>
    <x v="0"/>
    <x v="3"/>
    <x v="0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499"/>
    <x v="266"/>
    <x v="33"/>
    <x v="33"/>
    <x v="6"/>
    <x v="0"/>
    <x v="494"/>
    <x v="7"/>
    <x v="3"/>
    <x v="0"/>
    <x v="28"/>
    <x v="3"/>
    <x v="29"/>
    <x v="0"/>
    <x v="0"/>
    <x v="0"/>
    <x v="0"/>
    <x v="0"/>
    <x v="0"/>
    <x v="0"/>
    <x v="0"/>
    <x v="0"/>
    <x v="0"/>
    <x v="0"/>
    <x v="0"/>
    <x v="0"/>
    <x v="0"/>
    <x v="0"/>
    <x v="0"/>
  </r>
  <r>
    <x v="500"/>
    <x v="267"/>
    <x v="23"/>
    <x v="23"/>
    <x v="6"/>
    <x v="3"/>
    <x v="495"/>
    <x v="9"/>
    <x v="3"/>
    <x v="2"/>
    <x v="1"/>
    <x v="3"/>
    <x v="3"/>
    <x v="0"/>
    <x v="0"/>
    <x v="0"/>
    <x v="0"/>
    <x v="0"/>
    <x v="0"/>
    <x v="0"/>
    <x v="0"/>
    <x v="0"/>
    <x v="0"/>
    <x v="0"/>
    <x v="0"/>
    <x v="0"/>
    <x v="0"/>
    <x v="0"/>
    <x v="0"/>
  </r>
  <r>
    <x v="501"/>
    <x v="268"/>
    <x v="12"/>
    <x v="12"/>
    <x v="5"/>
    <x v="2"/>
    <x v="496"/>
    <x v="8"/>
    <x v="3"/>
    <x v="2"/>
    <x v="54"/>
    <x v="3"/>
    <x v="7"/>
    <x v="0"/>
    <x v="0"/>
    <x v="0"/>
    <x v="0"/>
    <x v="0"/>
    <x v="0"/>
    <x v="0"/>
    <x v="0"/>
    <x v="0"/>
    <x v="0"/>
    <x v="0"/>
    <x v="0"/>
    <x v="0"/>
    <x v="0"/>
    <x v="0"/>
    <x v="0"/>
  </r>
  <r>
    <x v="502"/>
    <x v="269"/>
    <x v="10"/>
    <x v="10"/>
    <x v="1"/>
    <x v="2"/>
    <x v="497"/>
    <x v="9"/>
    <x v="3"/>
    <x v="2"/>
    <x v="1"/>
    <x v="3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503"/>
    <x v="270"/>
    <x v="6"/>
    <x v="6"/>
    <x v="2"/>
    <x v="3"/>
    <x v="498"/>
    <x v="8"/>
    <x v="3"/>
    <x v="2"/>
    <x v="62"/>
    <x v="3"/>
    <x v="8"/>
    <x v="0"/>
    <x v="0"/>
    <x v="0"/>
    <x v="0"/>
    <x v="0"/>
    <x v="0"/>
    <x v="0"/>
    <x v="0"/>
    <x v="0"/>
    <x v="0"/>
    <x v="0"/>
    <x v="0"/>
    <x v="0"/>
    <x v="0"/>
    <x v="0"/>
    <x v="0"/>
  </r>
  <r>
    <x v="504"/>
    <x v="271"/>
    <x v="13"/>
    <x v="13"/>
    <x v="3"/>
    <x v="1"/>
    <x v="499"/>
    <x v="8"/>
    <x v="3"/>
    <x v="2"/>
    <x v="3"/>
    <x v="3"/>
    <x v="24"/>
    <x v="0"/>
    <x v="0"/>
    <x v="0"/>
    <x v="0"/>
    <x v="0"/>
    <x v="0"/>
    <x v="0"/>
    <x v="0"/>
    <x v="0"/>
    <x v="0"/>
    <x v="0"/>
    <x v="0"/>
    <x v="0"/>
    <x v="0"/>
    <x v="0"/>
    <x v="0"/>
  </r>
  <r>
    <x v="505"/>
    <x v="272"/>
    <x v="14"/>
    <x v="14"/>
    <x v="2"/>
    <x v="2"/>
    <x v="500"/>
    <x v="0"/>
    <x v="3"/>
    <x v="2"/>
    <x v="42"/>
    <x v="3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506"/>
    <x v="273"/>
    <x v="21"/>
    <x v="21"/>
    <x v="5"/>
    <x v="2"/>
    <x v="501"/>
    <x v="9"/>
    <x v="3"/>
    <x v="2"/>
    <x v="80"/>
    <x v="3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507"/>
    <x v="274"/>
    <x v="25"/>
    <x v="25"/>
    <x v="5"/>
    <x v="3"/>
    <x v="502"/>
    <x v="10"/>
    <x v="3"/>
    <x v="2"/>
    <x v="3"/>
    <x v="3"/>
    <x v="19"/>
    <x v="0"/>
    <x v="0"/>
    <x v="0"/>
    <x v="0"/>
    <x v="0"/>
    <x v="0"/>
    <x v="0"/>
    <x v="0"/>
    <x v="0"/>
    <x v="0"/>
    <x v="0"/>
    <x v="0"/>
    <x v="0"/>
    <x v="0"/>
    <x v="0"/>
    <x v="0"/>
  </r>
  <r>
    <x v="508"/>
    <x v="275"/>
    <x v="26"/>
    <x v="26"/>
    <x v="1"/>
    <x v="1"/>
    <x v="503"/>
    <x v="0"/>
    <x v="3"/>
    <x v="2"/>
    <x v="42"/>
    <x v="3"/>
    <x v="21"/>
    <x v="0"/>
    <x v="0"/>
    <x v="0"/>
    <x v="0"/>
    <x v="0"/>
    <x v="0"/>
    <x v="0"/>
    <x v="0"/>
    <x v="0"/>
    <x v="0"/>
    <x v="0"/>
    <x v="0"/>
    <x v="0"/>
    <x v="0"/>
    <x v="0"/>
    <x v="0"/>
  </r>
  <r>
    <x v="509"/>
    <x v="276"/>
    <x v="33"/>
    <x v="33"/>
    <x v="6"/>
    <x v="0"/>
    <x v="504"/>
    <x v="9"/>
    <x v="3"/>
    <x v="2"/>
    <x v="12"/>
    <x v="3"/>
    <x v="11"/>
    <x v="0"/>
    <x v="0"/>
    <x v="0"/>
    <x v="0"/>
    <x v="0"/>
    <x v="0"/>
    <x v="0"/>
    <x v="0"/>
    <x v="0"/>
    <x v="0"/>
    <x v="0"/>
    <x v="0"/>
    <x v="0"/>
    <x v="0"/>
    <x v="0"/>
    <x v="0"/>
  </r>
  <r>
    <x v="510"/>
    <x v="277"/>
    <x v="34"/>
    <x v="34"/>
    <x v="3"/>
    <x v="0"/>
    <x v="505"/>
    <x v="8"/>
    <x v="3"/>
    <x v="2"/>
    <x v="54"/>
    <x v="3"/>
    <x v="26"/>
    <x v="0"/>
    <x v="0"/>
    <x v="0"/>
    <x v="0"/>
    <x v="0"/>
    <x v="0"/>
    <x v="0"/>
    <x v="0"/>
    <x v="0"/>
    <x v="0"/>
    <x v="0"/>
    <x v="0"/>
    <x v="0"/>
    <x v="0"/>
    <x v="0"/>
    <x v="0"/>
  </r>
  <r>
    <x v="511"/>
    <x v="278"/>
    <x v="38"/>
    <x v="38"/>
    <x v="5"/>
    <x v="1"/>
    <x v="506"/>
    <x v="8"/>
    <x v="3"/>
    <x v="2"/>
    <x v="80"/>
    <x v="3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512"/>
    <x v="279"/>
    <x v="1"/>
    <x v="1"/>
    <x v="1"/>
    <x v="1"/>
    <x v="507"/>
    <x v="10"/>
    <x v="3"/>
    <x v="2"/>
    <x v="54"/>
    <x v="3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513"/>
    <x v="280"/>
    <x v="38"/>
    <x v="38"/>
    <x v="5"/>
    <x v="1"/>
    <x v="508"/>
    <x v="10"/>
    <x v="3"/>
    <x v="2"/>
    <x v="73"/>
    <x v="3"/>
    <x v="13"/>
    <x v="1"/>
    <x v="0"/>
    <x v="0"/>
    <x v="0"/>
    <x v="0"/>
    <x v="0"/>
    <x v="0"/>
    <x v="0"/>
    <x v="0"/>
    <x v="0"/>
    <x v="0"/>
    <x v="0"/>
    <x v="0"/>
    <x v="0"/>
    <x v="0"/>
    <x v="0"/>
  </r>
  <r>
    <x v="514"/>
    <x v="281"/>
    <x v="5"/>
    <x v="5"/>
    <x v="2"/>
    <x v="1"/>
    <x v="509"/>
    <x v="9"/>
    <x v="3"/>
    <x v="2"/>
    <x v="12"/>
    <x v="3"/>
    <x v="15"/>
    <x v="0"/>
    <x v="0"/>
    <x v="0"/>
    <x v="0"/>
    <x v="0"/>
    <x v="0"/>
    <x v="0"/>
    <x v="0"/>
    <x v="0"/>
    <x v="0"/>
    <x v="0"/>
    <x v="0"/>
    <x v="0"/>
    <x v="0"/>
    <x v="0"/>
    <x v="0"/>
  </r>
  <r>
    <x v="515"/>
    <x v="225"/>
    <x v="22"/>
    <x v="22"/>
    <x v="6"/>
    <x v="3"/>
    <x v="510"/>
    <x v="11"/>
    <x v="3"/>
    <x v="1"/>
    <x v="47"/>
    <x v="3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516"/>
    <x v="225"/>
    <x v="23"/>
    <x v="23"/>
    <x v="6"/>
    <x v="3"/>
    <x v="511"/>
    <x v="5"/>
    <x v="3"/>
    <x v="1"/>
    <x v="95"/>
    <x v="3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517"/>
    <x v="225"/>
    <x v="28"/>
    <x v="28"/>
    <x v="3"/>
    <x v="1"/>
    <x v="512"/>
    <x v="5"/>
    <x v="3"/>
    <x v="1"/>
    <x v="98"/>
    <x v="3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518"/>
    <x v="225"/>
    <x v="36"/>
    <x v="36"/>
    <x v="2"/>
    <x v="2"/>
    <x v="513"/>
    <x v="6"/>
    <x v="3"/>
    <x v="0"/>
    <x v="10"/>
    <x v="3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519"/>
    <x v="206"/>
    <x v="24"/>
    <x v="24"/>
    <x v="2"/>
    <x v="0"/>
    <x v="514"/>
    <x v="6"/>
    <x v="3"/>
    <x v="1"/>
    <x v="98"/>
    <x v="3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520"/>
    <x v="206"/>
    <x v="34"/>
    <x v="34"/>
    <x v="3"/>
    <x v="0"/>
    <x v="515"/>
    <x v="11"/>
    <x v="3"/>
    <x v="1"/>
    <x v="34"/>
    <x v="3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521"/>
    <x v="206"/>
    <x v="20"/>
    <x v="20"/>
    <x v="0"/>
    <x v="3"/>
    <x v="516"/>
    <x v="5"/>
    <x v="3"/>
    <x v="1"/>
    <x v="22"/>
    <x v="3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522"/>
    <x v="206"/>
    <x v="1"/>
    <x v="1"/>
    <x v="1"/>
    <x v="1"/>
    <x v="517"/>
    <x v="5"/>
    <x v="3"/>
    <x v="0"/>
    <x v="89"/>
    <x v="3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523"/>
    <x v="282"/>
    <x v="3"/>
    <x v="3"/>
    <x v="2"/>
    <x v="2"/>
    <x v="518"/>
    <x v="11"/>
    <x v="3"/>
    <x v="1"/>
    <x v="73"/>
    <x v="3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524"/>
    <x v="282"/>
    <x v="36"/>
    <x v="36"/>
    <x v="2"/>
    <x v="2"/>
    <x v="519"/>
    <x v="11"/>
    <x v="3"/>
    <x v="1"/>
    <x v="39"/>
    <x v="3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525"/>
    <x v="282"/>
    <x v="20"/>
    <x v="20"/>
    <x v="0"/>
    <x v="3"/>
    <x v="520"/>
    <x v="5"/>
    <x v="3"/>
    <x v="1"/>
    <x v="80"/>
    <x v="3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526"/>
    <x v="282"/>
    <x v="26"/>
    <x v="26"/>
    <x v="1"/>
    <x v="1"/>
    <x v="521"/>
    <x v="11"/>
    <x v="3"/>
    <x v="0"/>
    <x v="48"/>
    <x v="3"/>
    <x v="28"/>
    <x v="0"/>
    <x v="0"/>
    <x v="0"/>
    <x v="0"/>
    <x v="0"/>
    <x v="0"/>
    <x v="0"/>
    <x v="0"/>
    <x v="0"/>
    <x v="0"/>
    <x v="0"/>
    <x v="0"/>
    <x v="0"/>
    <x v="0"/>
    <x v="0"/>
    <x v="0"/>
  </r>
  <r>
    <x v="527"/>
    <x v="16"/>
    <x v="30"/>
    <x v="30"/>
    <x v="6"/>
    <x v="1"/>
    <x v="522"/>
    <x v="5"/>
    <x v="3"/>
    <x v="1"/>
    <x v="79"/>
    <x v="3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528"/>
    <x v="16"/>
    <x v="23"/>
    <x v="23"/>
    <x v="6"/>
    <x v="3"/>
    <x v="523"/>
    <x v="6"/>
    <x v="3"/>
    <x v="1"/>
    <x v="15"/>
    <x v="3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529"/>
    <x v="16"/>
    <x v="0"/>
    <x v="0"/>
    <x v="0"/>
    <x v="0"/>
    <x v="524"/>
    <x v="6"/>
    <x v="3"/>
    <x v="1"/>
    <x v="82"/>
    <x v="3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530"/>
    <x v="16"/>
    <x v="25"/>
    <x v="25"/>
    <x v="5"/>
    <x v="3"/>
    <x v="525"/>
    <x v="5"/>
    <x v="3"/>
    <x v="0"/>
    <x v="79"/>
    <x v="3"/>
    <x v="22"/>
    <x v="0"/>
    <x v="0"/>
    <x v="0"/>
    <x v="0"/>
    <x v="0"/>
    <x v="0"/>
    <x v="0"/>
    <x v="0"/>
    <x v="0"/>
    <x v="0"/>
    <x v="0"/>
    <x v="0"/>
    <x v="0"/>
    <x v="0"/>
    <x v="0"/>
    <x v="0"/>
  </r>
  <r>
    <x v="531"/>
    <x v="1"/>
    <x v="19"/>
    <x v="19"/>
    <x v="2"/>
    <x v="1"/>
    <x v="526"/>
    <x v="11"/>
    <x v="3"/>
    <x v="1"/>
    <x v="82"/>
    <x v="3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532"/>
    <x v="1"/>
    <x v="9"/>
    <x v="9"/>
    <x v="1"/>
    <x v="3"/>
    <x v="527"/>
    <x v="6"/>
    <x v="3"/>
    <x v="1"/>
    <x v="47"/>
    <x v="3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533"/>
    <x v="1"/>
    <x v="22"/>
    <x v="22"/>
    <x v="6"/>
    <x v="3"/>
    <x v="528"/>
    <x v="5"/>
    <x v="3"/>
    <x v="1"/>
    <x v="44"/>
    <x v="3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534"/>
    <x v="1"/>
    <x v="26"/>
    <x v="26"/>
    <x v="1"/>
    <x v="1"/>
    <x v="529"/>
    <x v="6"/>
    <x v="3"/>
    <x v="0"/>
    <x v="47"/>
    <x v="3"/>
    <x v="12"/>
    <x v="0"/>
    <x v="0"/>
    <x v="0"/>
    <x v="0"/>
    <x v="0"/>
    <x v="0"/>
    <x v="0"/>
    <x v="0"/>
    <x v="0"/>
    <x v="0"/>
    <x v="0"/>
    <x v="0"/>
    <x v="0"/>
    <x v="0"/>
    <x v="0"/>
    <x v="0"/>
  </r>
  <r>
    <x v="535"/>
    <x v="42"/>
    <x v="16"/>
    <x v="16"/>
    <x v="3"/>
    <x v="3"/>
    <x v="530"/>
    <x v="5"/>
    <x v="3"/>
    <x v="1"/>
    <x v="81"/>
    <x v="3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536"/>
    <x v="42"/>
    <x v="32"/>
    <x v="32"/>
    <x v="4"/>
    <x v="2"/>
    <x v="531"/>
    <x v="6"/>
    <x v="3"/>
    <x v="1"/>
    <x v="95"/>
    <x v="3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537"/>
    <x v="42"/>
    <x v="8"/>
    <x v="8"/>
    <x v="4"/>
    <x v="3"/>
    <x v="532"/>
    <x v="5"/>
    <x v="3"/>
    <x v="1"/>
    <x v="75"/>
    <x v="3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538"/>
    <x v="42"/>
    <x v="17"/>
    <x v="17"/>
    <x v="6"/>
    <x v="3"/>
    <x v="533"/>
    <x v="5"/>
    <x v="3"/>
    <x v="0"/>
    <x v="59"/>
    <x v="3"/>
    <x v="9"/>
    <x v="0"/>
    <x v="0"/>
    <x v="0"/>
    <x v="0"/>
    <x v="0"/>
    <x v="0"/>
    <x v="0"/>
    <x v="0"/>
    <x v="0"/>
    <x v="0"/>
    <x v="0"/>
    <x v="0"/>
    <x v="0"/>
    <x v="0"/>
    <x v="0"/>
    <x v="0"/>
  </r>
  <r>
    <x v="539"/>
    <x v="53"/>
    <x v="33"/>
    <x v="33"/>
    <x v="6"/>
    <x v="0"/>
    <x v="534"/>
    <x v="6"/>
    <x v="3"/>
    <x v="1"/>
    <x v="62"/>
    <x v="3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540"/>
    <x v="53"/>
    <x v="38"/>
    <x v="38"/>
    <x v="5"/>
    <x v="1"/>
    <x v="535"/>
    <x v="11"/>
    <x v="3"/>
    <x v="1"/>
    <x v="0"/>
    <x v="3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541"/>
    <x v="53"/>
    <x v="35"/>
    <x v="35"/>
    <x v="3"/>
    <x v="3"/>
    <x v="536"/>
    <x v="5"/>
    <x v="3"/>
    <x v="1"/>
    <x v="39"/>
    <x v="3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542"/>
    <x v="53"/>
    <x v="5"/>
    <x v="5"/>
    <x v="2"/>
    <x v="1"/>
    <x v="537"/>
    <x v="11"/>
    <x v="3"/>
    <x v="0"/>
    <x v="82"/>
    <x v="3"/>
    <x v="10"/>
    <x v="0"/>
    <x v="0"/>
    <x v="0"/>
    <x v="0"/>
    <x v="0"/>
    <x v="0"/>
    <x v="0"/>
    <x v="0"/>
    <x v="0"/>
    <x v="0"/>
    <x v="0"/>
    <x v="0"/>
    <x v="0"/>
    <x v="0"/>
    <x v="0"/>
    <x v="0"/>
  </r>
  <r>
    <x v="543"/>
    <x v="243"/>
    <x v="12"/>
    <x v="12"/>
    <x v="5"/>
    <x v="2"/>
    <x v="538"/>
    <x v="6"/>
    <x v="3"/>
    <x v="1"/>
    <x v="85"/>
    <x v="3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544"/>
    <x v="243"/>
    <x v="39"/>
    <x v="39"/>
    <x v="1"/>
    <x v="1"/>
    <x v="539"/>
    <x v="11"/>
    <x v="3"/>
    <x v="1"/>
    <x v="89"/>
    <x v="3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545"/>
    <x v="243"/>
    <x v="0"/>
    <x v="0"/>
    <x v="0"/>
    <x v="0"/>
    <x v="540"/>
    <x v="11"/>
    <x v="3"/>
    <x v="1"/>
    <x v="89"/>
    <x v="3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546"/>
    <x v="243"/>
    <x v="9"/>
    <x v="9"/>
    <x v="1"/>
    <x v="3"/>
    <x v="541"/>
    <x v="11"/>
    <x v="3"/>
    <x v="0"/>
    <x v="76"/>
    <x v="3"/>
    <x v="20"/>
    <x v="0"/>
    <x v="0"/>
    <x v="0"/>
    <x v="0"/>
    <x v="0"/>
    <x v="0"/>
    <x v="0"/>
    <x v="0"/>
    <x v="0"/>
    <x v="0"/>
    <x v="0"/>
    <x v="0"/>
    <x v="0"/>
    <x v="0"/>
    <x v="0"/>
    <x v="0"/>
  </r>
  <r>
    <x v="547"/>
    <x v="283"/>
    <x v="40"/>
    <x v="40"/>
    <x v="7"/>
    <x v="4"/>
    <x v="542"/>
    <x v="12"/>
    <x v="4"/>
    <x v="3"/>
    <x v="101"/>
    <x v="4"/>
    <x v="30"/>
    <x v="2"/>
    <x v="0"/>
    <x v="0"/>
    <x v="0"/>
    <x v="0"/>
    <x v="0"/>
    <x v="0"/>
    <x v="0"/>
    <x v="0"/>
    <x v="0"/>
    <x v="0"/>
    <x v="0"/>
    <x v="0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C489" firstHeaderRow="1" firstDataRow="1" firstDataCol="2"/>
  <pivotFields count="29">
    <pivotField compact="0" showAll="0"/>
    <pivotField compact="0" showAll="0"/>
    <pivotField axis="axisRow" compact="0" showAll="0">
      <items count="42">
        <item x="37"/>
        <item x="27"/>
        <item x="4"/>
        <item x="29"/>
        <item x="32"/>
        <item x="18"/>
        <item x="23"/>
        <item x="30"/>
        <item x="39"/>
        <item x="34"/>
        <item x="2"/>
        <item x="9"/>
        <item x="6"/>
        <item x="16"/>
        <item x="19"/>
        <item x="0"/>
        <item x="28"/>
        <item x="7"/>
        <item x="13"/>
        <item x="15"/>
        <item x="17"/>
        <item x="3"/>
        <item x="5"/>
        <item x="31"/>
        <item x="14"/>
        <item x="22"/>
        <item x="1"/>
        <item x="10"/>
        <item x="26"/>
        <item x="24"/>
        <item x="20"/>
        <item x="33"/>
        <item x="11"/>
        <item x="36"/>
        <item x="8"/>
        <item x="25"/>
        <item x="21"/>
        <item x="35"/>
        <item x="38"/>
        <item x="12"/>
        <item x="40"/>
        <item t="default"/>
      </items>
    </pivotField>
    <pivotField compact="0" showAll="0"/>
    <pivotField compact="0" showAll="0"/>
    <pivotField compact="0" showAll="0"/>
    <pivotField axis="axisRow" compact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2">
    <field x="2"/>
    <field x="6"/>
  </rowFields>
  <rowItems count="486">
    <i>
      <x/>
    </i>
    <i r="1">
      <x v="5"/>
    </i>
    <i r="1">
      <x v="6"/>
    </i>
    <i r="1">
      <x v="9"/>
    </i>
    <i r="1">
      <x v="11"/>
    </i>
    <i r="1">
      <x v="12"/>
    </i>
    <i r="1">
      <x v="17"/>
    </i>
    <i r="1">
      <x v="23"/>
    </i>
    <i>
      <x v="1"/>
    </i>
    <i r="1">
      <x v="7"/>
    </i>
    <i r="1">
      <x v="8"/>
    </i>
    <i r="1">
      <x v="12"/>
    </i>
    <i r="1">
      <x v="13"/>
    </i>
    <i r="1">
      <x v="15"/>
    </i>
    <i r="1">
      <x v="19"/>
    </i>
    <i r="1">
      <x v="22"/>
    </i>
    <i r="1">
      <x v="26"/>
    </i>
    <i r="1">
      <x v="30"/>
    </i>
    <i>
      <x v="2"/>
    </i>
    <i r="1">
      <x v="3"/>
    </i>
    <i r="1">
      <x v="5"/>
    </i>
    <i r="1">
      <x v="6"/>
    </i>
    <i r="1">
      <x v="7"/>
    </i>
    <i r="1">
      <x v="8"/>
    </i>
    <i r="1">
      <x v="13"/>
    </i>
    <i r="1">
      <x v="16"/>
    </i>
    <i r="1">
      <x v="20"/>
    </i>
    <i r="1">
      <x v="22"/>
    </i>
    <i r="1">
      <x v="23"/>
    </i>
    <i r="1">
      <x v="26"/>
    </i>
    <i r="1">
      <x v="29"/>
    </i>
    <i r="1">
      <x v="30"/>
    </i>
    <i>
      <x v="3"/>
    </i>
    <i r="1">
      <x v="2"/>
    </i>
    <i r="1">
      <x v="12"/>
    </i>
    <i r="1">
      <x v="13"/>
    </i>
    <i r="1">
      <x v="16"/>
    </i>
    <i r="1">
      <x v="17"/>
    </i>
    <i r="1">
      <x v="24"/>
    </i>
    <i r="1">
      <x v="25"/>
    </i>
    <i>
      <x v="4"/>
    </i>
    <i r="1">
      <x v="1"/>
    </i>
    <i r="1">
      <x v="3"/>
    </i>
    <i r="1">
      <x v="9"/>
    </i>
    <i r="1">
      <x v="10"/>
    </i>
    <i r="1">
      <x v="15"/>
    </i>
    <i r="1">
      <x v="17"/>
    </i>
    <i r="1">
      <x v="18"/>
    </i>
    <i r="1">
      <x v="19"/>
    </i>
    <i r="1">
      <x v="30"/>
    </i>
    <i>
      <x v="5"/>
    </i>
    <i r="1">
      <x v="1"/>
    </i>
    <i r="1">
      <x v="3"/>
    </i>
    <i r="1">
      <x v="5"/>
    </i>
    <i r="1">
      <x v="8"/>
    </i>
    <i r="1">
      <x v="9"/>
    </i>
    <i r="1">
      <x v="11"/>
    </i>
    <i r="1">
      <x v="13"/>
    </i>
    <i r="1">
      <x v="15"/>
    </i>
    <i r="1">
      <x v="17"/>
    </i>
    <i r="1">
      <x v="19"/>
    </i>
    <i r="1">
      <x v="21"/>
    </i>
    <i r="1">
      <x v="26"/>
    </i>
    <i>
      <x v="6"/>
    </i>
    <i r="1">
      <x v="2"/>
    </i>
    <i r="1">
      <x v="3"/>
    </i>
    <i r="1">
      <x v="5"/>
    </i>
    <i r="1">
      <x v="8"/>
    </i>
    <i r="1">
      <x v="10"/>
    </i>
    <i r="1">
      <x v="15"/>
    </i>
    <i r="1">
      <x v="17"/>
    </i>
    <i r="1">
      <x v="21"/>
    </i>
    <i r="1">
      <x v="24"/>
    </i>
    <i r="1">
      <x v="25"/>
    </i>
    <i r="1">
      <x v="30"/>
    </i>
    <i>
      <x v="7"/>
    </i>
    <i r="1">
      <x v="2"/>
    </i>
    <i r="1">
      <x v="3"/>
    </i>
    <i r="1">
      <x v="6"/>
    </i>
    <i r="1">
      <x v="8"/>
    </i>
    <i r="1">
      <x v="11"/>
    </i>
    <i r="1">
      <x v="12"/>
    </i>
    <i r="1">
      <x v="16"/>
    </i>
    <i r="1">
      <x v="17"/>
    </i>
    <i r="1">
      <x v="18"/>
    </i>
    <i r="1">
      <x v="19"/>
    </i>
    <i r="1">
      <x v="26"/>
    </i>
    <i r="1">
      <x v="27"/>
    </i>
    <i r="1">
      <x v="30"/>
    </i>
    <i>
      <x v="8"/>
    </i>
    <i r="1">
      <x v="1"/>
    </i>
    <i r="1">
      <x v="4"/>
    </i>
    <i r="1">
      <x v="5"/>
    </i>
    <i r="1">
      <x v="6"/>
    </i>
    <i r="1">
      <x v="9"/>
    </i>
    <i r="1">
      <x v="10"/>
    </i>
    <i r="1">
      <x v="12"/>
    </i>
    <i r="1">
      <x v="15"/>
    </i>
    <i r="1">
      <x v="17"/>
    </i>
    <i r="1">
      <x v="18"/>
    </i>
    <i r="1">
      <x v="19"/>
    </i>
    <i r="1">
      <x v="22"/>
    </i>
    <i r="1">
      <x v="23"/>
    </i>
    <i r="1">
      <x v="29"/>
    </i>
    <i>
      <x v="9"/>
    </i>
    <i r="1">
      <x v="5"/>
    </i>
    <i r="1">
      <x v="8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9"/>
    </i>
    <i r="1">
      <x v="20"/>
    </i>
    <i r="1">
      <x v="21"/>
    </i>
    <i r="1">
      <x v="29"/>
    </i>
    <i>
      <x v="10"/>
    </i>
    <i r="1">
      <x v="4"/>
    </i>
    <i r="1">
      <x v="6"/>
    </i>
    <i r="1">
      <x v="7"/>
    </i>
    <i r="1">
      <x v="11"/>
    </i>
    <i r="1">
      <x v="18"/>
    </i>
    <i r="1">
      <x v="20"/>
    </i>
    <i r="1">
      <x v="21"/>
    </i>
    <i r="1">
      <x v="24"/>
    </i>
    <i r="1">
      <x v="29"/>
    </i>
    <i>
      <x v="11"/>
    </i>
    <i r="1">
      <x v="1"/>
    </i>
    <i r="1">
      <x v="9"/>
    </i>
    <i r="1">
      <x v="12"/>
    </i>
    <i r="1">
      <x v="14"/>
    </i>
    <i r="1">
      <x v="18"/>
    </i>
    <i r="1">
      <x v="22"/>
    </i>
    <i r="1">
      <x v="23"/>
    </i>
    <i r="1">
      <x v="27"/>
    </i>
    <i r="1">
      <x v="30"/>
    </i>
    <i>
      <x v="12"/>
    </i>
    <i r="1">
      <x v="8"/>
    </i>
    <i r="1">
      <x v="9"/>
    </i>
    <i r="1">
      <x v="10"/>
    </i>
    <i r="1">
      <x v="14"/>
    </i>
    <i r="1">
      <x v="15"/>
    </i>
    <i r="1">
      <x v="20"/>
    </i>
    <i r="1">
      <x v="21"/>
    </i>
    <i r="1">
      <x v="24"/>
    </i>
    <i r="1">
      <x v="26"/>
    </i>
    <i r="1">
      <x v="27"/>
    </i>
    <i r="1">
      <x v="28"/>
    </i>
    <i>
      <x v="13"/>
    </i>
    <i r="1">
      <x v="1"/>
    </i>
    <i r="1">
      <x v="2"/>
    </i>
    <i r="1">
      <x v="3"/>
    </i>
    <i r="1">
      <x v="4"/>
    </i>
    <i r="1">
      <x v="5"/>
    </i>
    <i r="1">
      <x v="7"/>
    </i>
    <i r="1">
      <x v="8"/>
    </i>
    <i r="1">
      <x v="18"/>
    </i>
    <i r="1">
      <x v="19"/>
    </i>
    <i r="1">
      <x v="20"/>
    </i>
    <i r="1">
      <x v="25"/>
    </i>
    <i>
      <x v="14"/>
    </i>
    <i r="1">
      <x v="1"/>
    </i>
    <i r="1">
      <x v="7"/>
    </i>
    <i r="1">
      <x v="10"/>
    </i>
    <i r="1">
      <x v="13"/>
    </i>
    <i r="1">
      <x v="14"/>
    </i>
    <i r="1">
      <x v="19"/>
    </i>
    <i r="1">
      <x v="24"/>
    </i>
    <i r="1">
      <x v="26"/>
    </i>
    <i r="1">
      <x v="27"/>
    </i>
    <i r="1">
      <x v="29"/>
    </i>
    <i>
      <x v="15"/>
    </i>
    <i r="1">
      <x v="2"/>
    </i>
    <i r="1">
      <x v="3"/>
    </i>
    <i r="1">
      <x v="4"/>
    </i>
    <i r="1">
      <x v="5"/>
    </i>
    <i r="1">
      <x v="11"/>
    </i>
    <i r="1">
      <x v="15"/>
    </i>
    <i r="1">
      <x v="18"/>
    </i>
    <i r="1">
      <x v="20"/>
    </i>
    <i r="1">
      <x v="23"/>
    </i>
    <i r="1">
      <x v="24"/>
    </i>
    <i r="1">
      <x v="25"/>
    </i>
    <i r="1">
      <x v="27"/>
    </i>
    <i r="1">
      <x v="28"/>
    </i>
    <i r="1">
      <x v="29"/>
    </i>
    <i r="1">
      <x v="30"/>
    </i>
    <i>
      <x v="16"/>
    </i>
    <i r="1">
      <x v="1"/>
    </i>
    <i r="1">
      <x v="2"/>
    </i>
    <i r="1">
      <x v="3"/>
    </i>
    <i r="1">
      <x v="11"/>
    </i>
    <i r="1">
      <x v="12"/>
    </i>
    <i r="1">
      <x v="17"/>
    </i>
    <i r="1">
      <x v="18"/>
    </i>
    <i r="1">
      <x v="19"/>
    </i>
    <i r="1">
      <x v="28"/>
    </i>
    <i r="1">
      <x v="30"/>
    </i>
    <i>
      <x v="17"/>
    </i>
    <i r="1">
      <x v="6"/>
    </i>
    <i r="1">
      <x v="11"/>
    </i>
    <i r="1">
      <x v="12"/>
    </i>
    <i r="1">
      <x v="14"/>
    </i>
    <i r="1">
      <x v="15"/>
    </i>
    <i r="1">
      <x v="16"/>
    </i>
    <i r="1">
      <x v="18"/>
    </i>
    <i r="1">
      <x v="20"/>
    </i>
    <i r="1">
      <x v="25"/>
    </i>
    <i>
      <x v="18"/>
    </i>
    <i r="1">
      <x v="2"/>
    </i>
    <i r="1">
      <x v="6"/>
    </i>
    <i r="1">
      <x v="9"/>
    </i>
    <i r="1">
      <x v="10"/>
    </i>
    <i r="1">
      <x v="15"/>
    </i>
    <i r="1">
      <x v="16"/>
    </i>
    <i r="1">
      <x v="19"/>
    </i>
    <i r="1">
      <x v="20"/>
    </i>
    <i r="1">
      <x v="22"/>
    </i>
    <i r="1">
      <x v="24"/>
    </i>
    <i r="1">
      <x v="25"/>
    </i>
    <i r="1">
      <x v="26"/>
    </i>
    <i>
      <x v="19"/>
    </i>
    <i r="1">
      <x v="2"/>
    </i>
    <i r="1">
      <x v="3"/>
    </i>
    <i r="1">
      <x v="4"/>
    </i>
    <i r="1">
      <x v="10"/>
    </i>
    <i r="1">
      <x v="21"/>
    </i>
    <i r="1">
      <x v="23"/>
    </i>
    <i r="1">
      <x v="24"/>
    </i>
    <i r="1">
      <x v="29"/>
    </i>
    <i>
      <x v="20"/>
    </i>
    <i r="1">
      <x v="1"/>
    </i>
    <i r="1">
      <x v="5"/>
    </i>
    <i r="1">
      <x v="9"/>
    </i>
    <i r="1">
      <x v="14"/>
    </i>
    <i r="1">
      <x v="15"/>
    </i>
    <i r="1">
      <x v="16"/>
    </i>
    <i r="1">
      <x v="18"/>
    </i>
    <i r="1">
      <x v="19"/>
    </i>
    <i r="1">
      <x v="20"/>
    </i>
    <i r="1">
      <x v="21"/>
    </i>
    <i r="1">
      <x v="25"/>
    </i>
    <i r="1">
      <x v="26"/>
    </i>
    <i r="1">
      <x v="27"/>
    </i>
    <i>
      <x v="21"/>
    </i>
    <i r="1">
      <x v="1"/>
    </i>
    <i r="1">
      <x v="5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23"/>
    </i>
    <i r="1">
      <x v="29"/>
    </i>
    <i>
      <x v="22"/>
    </i>
    <i r="1">
      <x v="8"/>
    </i>
    <i r="1">
      <x v="9"/>
    </i>
    <i r="1">
      <x v="12"/>
    </i>
    <i r="1">
      <x v="17"/>
    </i>
    <i r="1">
      <x v="18"/>
    </i>
    <i r="1">
      <x v="22"/>
    </i>
    <i r="1">
      <x v="23"/>
    </i>
    <i r="1">
      <x v="26"/>
    </i>
    <i>
      <x v="23"/>
    </i>
    <i r="1">
      <x v="3"/>
    </i>
    <i r="1">
      <x v="4"/>
    </i>
    <i r="1">
      <x v="7"/>
    </i>
    <i r="1">
      <x v="11"/>
    </i>
    <i r="1">
      <x v="12"/>
    </i>
    <i r="1">
      <x v="14"/>
    </i>
    <i r="1">
      <x v="20"/>
    </i>
    <i r="1">
      <x v="21"/>
    </i>
    <i r="1">
      <x v="22"/>
    </i>
    <i r="1">
      <x v="24"/>
    </i>
    <i r="1">
      <x v="26"/>
    </i>
    <i>
      <x v="24"/>
    </i>
    <i r="1">
      <x v="2"/>
    </i>
    <i r="1">
      <x v="5"/>
    </i>
    <i r="1">
      <x v="6"/>
    </i>
    <i r="1">
      <x v="11"/>
    </i>
    <i r="1">
      <x v="13"/>
    </i>
    <i r="1">
      <x v="15"/>
    </i>
    <i r="1">
      <x v="16"/>
    </i>
    <i r="1">
      <x v="19"/>
    </i>
    <i r="1">
      <x v="24"/>
    </i>
    <i r="1">
      <x v="28"/>
    </i>
    <i r="1">
      <x v="29"/>
    </i>
    <i>
      <x v="25"/>
    </i>
    <i r="1">
      <x v="2"/>
    </i>
    <i r="1">
      <x v="3"/>
    </i>
    <i r="1">
      <x v="6"/>
    </i>
    <i r="1">
      <x v="10"/>
    </i>
    <i r="1">
      <x v="12"/>
    </i>
    <i r="1">
      <x v="14"/>
    </i>
    <i r="1">
      <x v="22"/>
    </i>
    <i r="1">
      <x v="23"/>
    </i>
    <i r="1">
      <x v="28"/>
    </i>
    <i r="1">
      <x v="29"/>
    </i>
    <i r="1">
      <x v="30"/>
    </i>
    <i>
      <x v="26"/>
    </i>
    <i r="1">
      <x v="1"/>
    </i>
    <i r="1">
      <x v="4"/>
    </i>
    <i r="1">
      <x v="10"/>
    </i>
    <i r="1">
      <x v="12"/>
    </i>
    <i r="1">
      <x v="14"/>
    </i>
    <i r="1">
      <x v="15"/>
    </i>
    <i r="1">
      <x v="17"/>
    </i>
    <i r="1">
      <x v="19"/>
    </i>
    <i r="1">
      <x v="20"/>
    </i>
    <i r="1">
      <x v="21"/>
    </i>
    <i r="1">
      <x v="22"/>
    </i>
    <i r="1">
      <x v="23"/>
    </i>
    <i r="1">
      <x v="24"/>
    </i>
    <i>
      <x v="27"/>
    </i>
    <i r="1">
      <x v="8"/>
    </i>
    <i r="1">
      <x v="9"/>
    </i>
    <i r="1">
      <x v="10"/>
    </i>
    <i r="1">
      <x v="11"/>
    </i>
    <i r="1">
      <x v="14"/>
    </i>
    <i r="1">
      <x v="15"/>
    </i>
    <i r="1">
      <x v="16"/>
    </i>
    <i r="1">
      <x v="21"/>
    </i>
    <i r="1">
      <x v="22"/>
    </i>
    <i r="1">
      <x v="30"/>
    </i>
    <i>
      <x v="28"/>
    </i>
    <i r="1">
      <x v="4"/>
    </i>
    <i r="1">
      <x v="5"/>
    </i>
    <i r="1">
      <x v="8"/>
    </i>
    <i r="1">
      <x v="9"/>
    </i>
    <i r="1">
      <x v="12"/>
    </i>
    <i r="1">
      <x v="14"/>
    </i>
    <i r="1">
      <x v="15"/>
    </i>
    <i r="1">
      <x v="17"/>
    </i>
    <i r="1">
      <x v="19"/>
    </i>
    <i r="1">
      <x v="20"/>
    </i>
    <i r="1">
      <x v="25"/>
    </i>
    <i r="1">
      <x v="27"/>
    </i>
    <i r="1">
      <x v="28"/>
    </i>
    <i>
      <x v="29"/>
    </i>
    <i r="1">
      <x v="3"/>
    </i>
    <i r="1">
      <x v="8"/>
    </i>
    <i r="1">
      <x v="9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26"/>
    </i>
    <i r="1">
      <x v="28"/>
    </i>
    <i r="1">
      <x v="29"/>
    </i>
    <i r="1">
      <x v="30"/>
    </i>
    <i>
      <x v="30"/>
    </i>
    <i r="1">
      <x v="5"/>
    </i>
    <i r="1">
      <x v="7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8"/>
    </i>
    <i r="1">
      <x v="21"/>
    </i>
    <i r="1">
      <x v="22"/>
    </i>
    <i r="1">
      <x v="28"/>
    </i>
    <i r="1">
      <x v="29"/>
    </i>
    <i>
      <x v="31"/>
    </i>
    <i r="1">
      <x v="3"/>
    </i>
    <i r="1">
      <x v="4"/>
    </i>
    <i r="1">
      <x v="6"/>
    </i>
    <i r="1">
      <x v="9"/>
    </i>
    <i r="1">
      <x v="13"/>
    </i>
    <i r="1">
      <x v="15"/>
    </i>
    <i r="1">
      <x v="18"/>
    </i>
    <i r="1">
      <x v="21"/>
    </i>
    <i r="1">
      <x v="24"/>
    </i>
    <i r="1">
      <x v="25"/>
    </i>
    <i r="1">
      <x v="27"/>
    </i>
    <i r="1">
      <x v="28"/>
    </i>
    <i>
      <x v="32"/>
    </i>
    <i r="1">
      <x v="3"/>
    </i>
    <i r="1">
      <x v="4"/>
    </i>
    <i r="1">
      <x v="12"/>
    </i>
    <i r="1">
      <x v="15"/>
    </i>
    <i r="1">
      <x v="20"/>
    </i>
    <i r="1">
      <x v="21"/>
    </i>
    <i r="1">
      <x v="22"/>
    </i>
    <i r="1">
      <x v="23"/>
    </i>
    <i r="1">
      <x v="24"/>
    </i>
    <i r="1">
      <x v="25"/>
    </i>
    <i>
      <x v="33"/>
    </i>
    <i r="1">
      <x v="2"/>
    </i>
    <i r="1">
      <x v="5"/>
    </i>
    <i r="1">
      <x v="9"/>
    </i>
    <i r="1">
      <x v="10"/>
    </i>
    <i r="1">
      <x v="12"/>
    </i>
    <i r="1">
      <x v="17"/>
    </i>
    <i r="1">
      <x v="18"/>
    </i>
    <i r="1">
      <x v="19"/>
    </i>
    <i r="1">
      <x v="21"/>
    </i>
    <i r="1">
      <x v="22"/>
    </i>
    <i r="1">
      <x v="23"/>
    </i>
    <i r="1">
      <x v="24"/>
    </i>
    <i>
      <x v="34"/>
    </i>
    <i r="1">
      <x v="1"/>
    </i>
    <i r="1">
      <x v="2"/>
    </i>
    <i r="1">
      <x v="11"/>
    </i>
    <i r="1">
      <x v="12"/>
    </i>
    <i r="1">
      <x v="13"/>
    </i>
    <i r="1">
      <x v="21"/>
    </i>
    <i r="1">
      <x v="22"/>
    </i>
    <i r="1">
      <x v="24"/>
    </i>
    <i r="1">
      <x v="26"/>
    </i>
    <i r="1">
      <x v="28"/>
    </i>
    <i r="1">
      <x v="30"/>
    </i>
    <i>
      <x v="35"/>
    </i>
    <i r="1">
      <x v="1"/>
    </i>
    <i r="1">
      <x v="2"/>
    </i>
    <i r="1">
      <x v="3"/>
    </i>
    <i r="1">
      <x v="4"/>
    </i>
    <i r="1">
      <x v="16"/>
    </i>
    <i r="1">
      <x v="17"/>
    </i>
    <i r="1">
      <x v="19"/>
    </i>
    <i r="1">
      <x v="20"/>
    </i>
    <i r="1">
      <x v="24"/>
    </i>
    <i r="1">
      <x v="26"/>
    </i>
    <i r="1">
      <x v="28"/>
    </i>
    <i r="1">
      <x v="29"/>
    </i>
    <i>
      <x v="36"/>
    </i>
    <i r="1">
      <x v="1"/>
    </i>
    <i r="1">
      <x v="2"/>
    </i>
    <i r="1">
      <x v="3"/>
    </i>
    <i r="1">
      <x v="4"/>
    </i>
    <i r="1">
      <x v="5"/>
    </i>
    <i r="1">
      <x v="6"/>
    </i>
    <i r="1">
      <x v="12"/>
    </i>
    <i r="1">
      <x v="16"/>
    </i>
    <i r="1">
      <x v="17"/>
    </i>
    <i r="1">
      <x v="20"/>
    </i>
    <i r="1">
      <x v="21"/>
    </i>
    <i r="1">
      <x v="23"/>
    </i>
    <i r="1">
      <x v="27"/>
    </i>
    <i r="1">
      <x v="28"/>
    </i>
    <i r="1">
      <x v="29"/>
    </i>
    <i r="1">
      <x v="30"/>
    </i>
    <i>
      <x v="37"/>
    </i>
    <i r="1">
      <x v="5"/>
    </i>
    <i r="1">
      <x v="6"/>
    </i>
    <i r="1">
      <x v="9"/>
    </i>
    <i r="1">
      <x v="10"/>
    </i>
    <i r="1">
      <x v="15"/>
    </i>
    <i r="1">
      <x v="22"/>
    </i>
    <i r="1">
      <x v="23"/>
    </i>
    <i r="1">
      <x v="28"/>
    </i>
    <i>
      <x v="38"/>
    </i>
    <i r="1">
      <x v="2"/>
    </i>
    <i r="1">
      <x v="5"/>
    </i>
    <i r="1">
      <x v="9"/>
    </i>
    <i r="1">
      <x v="10"/>
    </i>
    <i r="1">
      <x v="16"/>
    </i>
    <i r="1">
      <x v="17"/>
    </i>
    <i r="1">
      <x v="18"/>
    </i>
    <i r="1">
      <x v="22"/>
    </i>
    <i r="1">
      <x v="23"/>
    </i>
    <i r="1">
      <x v="29"/>
    </i>
    <i>
      <x v="39"/>
    </i>
    <i r="1">
      <x v="1"/>
    </i>
    <i r="1">
      <x v="3"/>
    </i>
    <i r="1">
      <x v="8"/>
    </i>
    <i r="1">
      <x v="11"/>
    </i>
    <i r="1">
      <x v="12"/>
    </i>
    <i r="1">
      <x v="13"/>
    </i>
    <i r="1">
      <x v="14"/>
    </i>
    <i r="1">
      <x v="15"/>
    </i>
    <i r="1">
      <x v="18"/>
    </i>
    <i r="1">
      <x v="19"/>
    </i>
    <i r="1">
      <x v="23"/>
    </i>
    <i r="1">
      <x v="29"/>
    </i>
    <i r="1">
      <x v="30"/>
    </i>
    <i>
      <x v="40"/>
    </i>
    <i r="1">
      <x/>
    </i>
    <i t="grand">
      <x/>
    </i>
  </rowItems>
  <colItems count="1">
    <i/>
  </colItems>
  <dataFields count="1">
    <dataField name="Sum of amount_inr" fld="7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489"/>
  <sheetViews>
    <sheetView tabSelected="1" workbookViewId="0">
      <selection activeCell="F13" sqref="F13"/>
    </sheetView>
  </sheetViews>
  <sheetFormatPr defaultColWidth="8.72727272727273" defaultRowHeight="12.5" outlineLevelCol="2"/>
  <cols>
    <col min="1" max="1" width="14.4545454545455"/>
    <col min="2" max="2" width="18.7272727272727"/>
    <col min="3" max="3" width="18.9090909090909"/>
  </cols>
  <sheetData>
    <row r="3" spans="1:3">
      <c r="A3" t="s">
        <v>0</v>
      </c>
      <c r="B3" t="s">
        <v>1</v>
      </c>
      <c r="C3" t="s">
        <v>2</v>
      </c>
    </row>
    <row r="4" spans="1:3">
      <c r="A4">
        <v>1</v>
      </c>
      <c r="B4"/>
      <c r="C4">
        <v>10441</v>
      </c>
    </row>
    <row r="5" spans="1:3">
      <c r="B5" t="s">
        <v>3</v>
      </c>
      <c r="C5">
        <v>1499</v>
      </c>
    </row>
    <row r="6" spans="1:3">
      <c r="B6" t="s">
        <v>4</v>
      </c>
      <c r="C6">
        <v>149</v>
      </c>
    </row>
    <row r="7" spans="1:3">
      <c r="B7" t="s">
        <v>5</v>
      </c>
      <c r="C7">
        <v>5048</v>
      </c>
    </row>
    <row r="8" spans="1:3">
      <c r="B8" t="s">
        <v>6</v>
      </c>
      <c r="C8">
        <v>299</v>
      </c>
    </row>
    <row r="9" spans="1:3">
      <c r="B9" t="s">
        <v>7</v>
      </c>
      <c r="C9">
        <v>149</v>
      </c>
    </row>
    <row r="10" spans="1:3">
      <c r="B10" t="s">
        <v>8</v>
      </c>
      <c r="C10">
        <v>149</v>
      </c>
    </row>
    <row r="11" spans="1:3">
      <c r="B11" t="s">
        <v>9</v>
      </c>
      <c r="C11">
        <v>3148</v>
      </c>
    </row>
    <row r="12" spans="1:3">
      <c r="A12">
        <v>2</v>
      </c>
      <c r="B12"/>
      <c r="C12">
        <v>3640</v>
      </c>
    </row>
    <row r="13" spans="1:3">
      <c r="B13" t="s">
        <v>10</v>
      </c>
      <c r="C13">
        <v>499</v>
      </c>
    </row>
    <row r="14" spans="1:3">
      <c r="B14" t="s">
        <v>11</v>
      </c>
      <c r="C14">
        <v>299</v>
      </c>
    </row>
    <row r="15" spans="1:3">
      <c r="B15" t="s">
        <v>7</v>
      </c>
      <c r="C15">
        <v>348</v>
      </c>
    </row>
    <row r="16" spans="1:3">
      <c r="B16" t="s">
        <v>12</v>
      </c>
      <c r="C16">
        <v>49</v>
      </c>
    </row>
    <row r="17" spans="1:3">
      <c r="B17" t="s">
        <v>13</v>
      </c>
      <c r="C17">
        <v>1499</v>
      </c>
    </row>
    <row r="18" spans="1:3">
      <c r="B18" t="s">
        <v>14</v>
      </c>
      <c r="C18">
        <v>49</v>
      </c>
    </row>
    <row r="19" spans="1:3">
      <c r="B19" t="s">
        <v>15</v>
      </c>
      <c r="C19">
        <v>299</v>
      </c>
    </row>
    <row r="20" spans="1:3">
      <c r="B20" t="s">
        <v>16</v>
      </c>
      <c r="C20">
        <v>299</v>
      </c>
    </row>
    <row r="21" spans="1:3">
      <c r="B21" t="s">
        <v>17</v>
      </c>
      <c r="C21">
        <v>299</v>
      </c>
    </row>
    <row r="22" spans="1:3">
      <c r="A22">
        <v>3</v>
      </c>
      <c r="B22"/>
      <c r="C22">
        <v>8233</v>
      </c>
    </row>
    <row r="23" spans="1:3">
      <c r="B23" t="s">
        <v>18</v>
      </c>
      <c r="C23">
        <v>198</v>
      </c>
    </row>
    <row r="24" spans="1:3">
      <c r="B24" t="s">
        <v>3</v>
      </c>
      <c r="C24">
        <v>99</v>
      </c>
    </row>
    <row r="25" spans="1:3">
      <c r="B25" t="s">
        <v>4</v>
      </c>
      <c r="C25">
        <v>898</v>
      </c>
    </row>
    <row r="26" spans="1:3">
      <c r="B26" t="s">
        <v>10</v>
      </c>
      <c r="C26">
        <v>798</v>
      </c>
    </row>
    <row r="27" spans="1:3">
      <c r="B27" t="s">
        <v>11</v>
      </c>
      <c r="C27">
        <v>149</v>
      </c>
    </row>
    <row r="28" spans="1:3">
      <c r="B28" t="s">
        <v>12</v>
      </c>
      <c r="C28">
        <v>198</v>
      </c>
    </row>
    <row r="29" spans="1:3">
      <c r="B29" t="s">
        <v>19</v>
      </c>
      <c r="C29">
        <v>4999</v>
      </c>
    </row>
    <row r="30" spans="1:3">
      <c r="B30" t="s">
        <v>20</v>
      </c>
      <c r="C30">
        <v>99</v>
      </c>
    </row>
    <row r="31" spans="1:3">
      <c r="B31" t="s">
        <v>15</v>
      </c>
      <c r="C31">
        <v>499</v>
      </c>
    </row>
    <row r="32" spans="1:3">
      <c r="B32" t="s">
        <v>9</v>
      </c>
      <c r="C32">
        <v>49</v>
      </c>
    </row>
    <row r="33" spans="1:3">
      <c r="B33" t="s">
        <v>16</v>
      </c>
      <c r="C33">
        <v>149</v>
      </c>
    </row>
    <row r="34" spans="1:3">
      <c r="B34" t="s">
        <v>21</v>
      </c>
      <c r="C34">
        <v>49</v>
      </c>
    </row>
    <row r="35" spans="1:3">
      <c r="B35" t="s">
        <v>17</v>
      </c>
      <c r="C35">
        <v>49</v>
      </c>
    </row>
    <row r="36" spans="1:3">
      <c r="A36">
        <v>4</v>
      </c>
      <c r="B36"/>
      <c r="C36">
        <v>6941</v>
      </c>
    </row>
    <row r="37" spans="1:3">
      <c r="B37" t="s">
        <v>22</v>
      </c>
      <c r="C37">
        <v>149</v>
      </c>
    </row>
    <row r="38" spans="1:3">
      <c r="B38" t="s">
        <v>7</v>
      </c>
      <c r="C38">
        <v>49</v>
      </c>
    </row>
    <row r="39" spans="1:3">
      <c r="B39" t="s">
        <v>12</v>
      </c>
      <c r="C39">
        <v>948</v>
      </c>
    </row>
    <row r="40" spans="1:3">
      <c r="B40" t="s">
        <v>19</v>
      </c>
      <c r="C40">
        <v>799</v>
      </c>
    </row>
    <row r="41" spans="1:3">
      <c r="B41" t="s">
        <v>8</v>
      </c>
      <c r="C41">
        <v>1499</v>
      </c>
    </row>
    <row r="42" spans="1:3">
      <c r="B42" t="s">
        <v>23</v>
      </c>
      <c r="C42">
        <v>1499</v>
      </c>
    </row>
    <row r="43" spans="1:3">
      <c r="B43" t="s">
        <v>24</v>
      </c>
      <c r="C43">
        <v>1998</v>
      </c>
    </row>
    <row r="44" spans="1:3">
      <c r="A44">
        <v>5</v>
      </c>
      <c r="B44"/>
      <c r="C44">
        <v>5839</v>
      </c>
    </row>
    <row r="45" spans="1:3">
      <c r="B45" t="s">
        <v>25</v>
      </c>
      <c r="C45">
        <v>499</v>
      </c>
    </row>
    <row r="46" spans="1:3">
      <c r="B46" t="s">
        <v>18</v>
      </c>
      <c r="C46">
        <v>499</v>
      </c>
    </row>
    <row r="47" spans="1:3">
      <c r="B47" t="s">
        <v>5</v>
      </c>
      <c r="C47">
        <v>348</v>
      </c>
    </row>
    <row r="48" spans="1:3">
      <c r="B48" t="s">
        <v>26</v>
      </c>
      <c r="C48">
        <v>99</v>
      </c>
    </row>
    <row r="49" spans="1:3">
      <c r="B49" t="s">
        <v>13</v>
      </c>
      <c r="C49">
        <v>548</v>
      </c>
    </row>
    <row r="50" spans="1:3">
      <c r="B50" t="s">
        <v>8</v>
      </c>
      <c r="C50">
        <v>499</v>
      </c>
    </row>
    <row r="51" spans="1:3">
      <c r="B51" t="s">
        <v>27</v>
      </c>
      <c r="C51">
        <v>299</v>
      </c>
    </row>
    <row r="52" spans="1:3">
      <c r="B52" t="s">
        <v>14</v>
      </c>
      <c r="C52">
        <v>49</v>
      </c>
    </row>
    <row r="53" spans="1:3">
      <c r="B53" t="s">
        <v>17</v>
      </c>
      <c r="C53">
        <v>2999</v>
      </c>
    </row>
    <row r="54" spans="1:3">
      <c r="A54">
        <v>6</v>
      </c>
      <c r="B54"/>
      <c r="C54">
        <v>7436</v>
      </c>
    </row>
    <row r="55" spans="1:3">
      <c r="B55" t="s">
        <v>25</v>
      </c>
      <c r="C55">
        <v>49</v>
      </c>
    </row>
    <row r="56" spans="1:3">
      <c r="B56" t="s">
        <v>18</v>
      </c>
      <c r="C56">
        <v>799</v>
      </c>
    </row>
    <row r="57" spans="1:3">
      <c r="B57" t="s">
        <v>3</v>
      </c>
      <c r="C57">
        <v>1499</v>
      </c>
    </row>
    <row r="58" spans="1:3">
      <c r="B58" t="s">
        <v>11</v>
      </c>
      <c r="C58">
        <v>149</v>
      </c>
    </row>
    <row r="59" spans="1:3">
      <c r="B59" t="s">
        <v>5</v>
      </c>
      <c r="C59">
        <v>99</v>
      </c>
    </row>
    <row r="60" spans="1:3">
      <c r="B60" t="s">
        <v>6</v>
      </c>
      <c r="C60">
        <v>1499</v>
      </c>
    </row>
    <row r="61" spans="1:3">
      <c r="B61" t="s">
        <v>12</v>
      </c>
      <c r="C61">
        <v>1499</v>
      </c>
    </row>
    <row r="62" spans="1:3">
      <c r="B62" t="s">
        <v>13</v>
      </c>
      <c r="C62">
        <v>49</v>
      </c>
    </row>
    <row r="63" spans="1:3">
      <c r="B63" t="s">
        <v>8</v>
      </c>
      <c r="C63">
        <v>799</v>
      </c>
    </row>
    <row r="64" spans="1:3">
      <c r="B64" t="s">
        <v>14</v>
      </c>
      <c r="C64">
        <v>49</v>
      </c>
    </row>
    <row r="65" spans="1:3">
      <c r="B65" t="s">
        <v>28</v>
      </c>
      <c r="C65">
        <v>49</v>
      </c>
    </row>
    <row r="66" spans="1:3">
      <c r="B66" t="s">
        <v>16</v>
      </c>
      <c r="C66">
        <v>897</v>
      </c>
    </row>
    <row r="67" spans="1:3">
      <c r="A67">
        <v>7</v>
      </c>
      <c r="B67"/>
      <c r="C67">
        <v>15934</v>
      </c>
    </row>
    <row r="68" spans="1:3">
      <c r="B68" t="s">
        <v>22</v>
      </c>
      <c r="C68">
        <v>3797</v>
      </c>
    </row>
    <row r="69" spans="1:3">
      <c r="B69" t="s">
        <v>18</v>
      </c>
      <c r="C69">
        <v>149</v>
      </c>
    </row>
    <row r="70" spans="1:3">
      <c r="B70" t="s">
        <v>3</v>
      </c>
      <c r="C70">
        <v>4498</v>
      </c>
    </row>
    <row r="71" spans="1:3">
      <c r="B71" t="s">
        <v>11</v>
      </c>
      <c r="C71">
        <v>299</v>
      </c>
    </row>
    <row r="72" spans="1:3">
      <c r="B72" t="s">
        <v>26</v>
      </c>
      <c r="C72">
        <v>499</v>
      </c>
    </row>
    <row r="73" spans="1:3">
      <c r="B73" t="s">
        <v>13</v>
      </c>
      <c r="C73">
        <v>1648</v>
      </c>
    </row>
    <row r="74" spans="1:3">
      <c r="B74" t="s">
        <v>8</v>
      </c>
      <c r="C74">
        <v>149</v>
      </c>
    </row>
    <row r="75" spans="1:3">
      <c r="B75" t="s">
        <v>28</v>
      </c>
      <c r="C75">
        <v>1499</v>
      </c>
    </row>
    <row r="76" spans="1:3">
      <c r="B76" t="s">
        <v>23</v>
      </c>
      <c r="C76">
        <v>1298</v>
      </c>
    </row>
    <row r="77" spans="1:3">
      <c r="B77" t="s">
        <v>24</v>
      </c>
      <c r="C77">
        <v>99</v>
      </c>
    </row>
    <row r="78" spans="1:3">
      <c r="B78" t="s">
        <v>17</v>
      </c>
      <c r="C78">
        <v>1999</v>
      </c>
    </row>
    <row r="79" spans="1:3">
      <c r="A79">
        <v>8</v>
      </c>
      <c r="B79"/>
      <c r="C79">
        <v>7434</v>
      </c>
    </row>
    <row r="80" spans="1:3">
      <c r="B80" t="s">
        <v>22</v>
      </c>
      <c r="C80">
        <v>299</v>
      </c>
    </row>
    <row r="81" spans="1:3">
      <c r="B81" t="s">
        <v>18</v>
      </c>
      <c r="C81">
        <v>299</v>
      </c>
    </row>
    <row r="82" spans="1:3">
      <c r="B82" t="s">
        <v>4</v>
      </c>
      <c r="C82">
        <v>49</v>
      </c>
    </row>
    <row r="83" spans="1:3">
      <c r="B83" t="s">
        <v>11</v>
      </c>
      <c r="C83">
        <v>99</v>
      </c>
    </row>
    <row r="84" spans="1:3">
      <c r="B84" t="s">
        <v>6</v>
      </c>
      <c r="C84">
        <v>149</v>
      </c>
    </row>
    <row r="85" spans="1:3">
      <c r="B85" t="s">
        <v>7</v>
      </c>
      <c r="C85">
        <v>398</v>
      </c>
    </row>
    <row r="86" spans="1:3">
      <c r="B86" t="s">
        <v>19</v>
      </c>
      <c r="C86">
        <v>2999</v>
      </c>
    </row>
    <row r="87" spans="1:3">
      <c r="B87" t="s">
        <v>8</v>
      </c>
      <c r="C87">
        <v>348</v>
      </c>
    </row>
    <row r="88" spans="1:3">
      <c r="B88" t="s">
        <v>27</v>
      </c>
      <c r="C88">
        <v>499</v>
      </c>
    </row>
    <row r="89" spans="1:3">
      <c r="B89" t="s">
        <v>14</v>
      </c>
      <c r="C89">
        <v>99</v>
      </c>
    </row>
    <row r="90" spans="1:3">
      <c r="B90" t="s">
        <v>16</v>
      </c>
      <c r="C90">
        <v>598</v>
      </c>
    </row>
    <row r="91" spans="1:3">
      <c r="B91" t="s">
        <v>29</v>
      </c>
      <c r="C91">
        <v>1499</v>
      </c>
    </row>
    <row r="92" spans="1:3">
      <c r="B92" t="s">
        <v>17</v>
      </c>
      <c r="C92">
        <v>99</v>
      </c>
    </row>
    <row r="93" spans="1:3">
      <c r="A93">
        <v>9</v>
      </c>
      <c r="B93"/>
      <c r="C93">
        <v>4982</v>
      </c>
    </row>
    <row r="94" spans="1:3">
      <c r="B94" t="s">
        <v>25</v>
      </c>
      <c r="C94">
        <v>499</v>
      </c>
    </row>
    <row r="95" spans="1:3">
      <c r="B95" t="s">
        <v>30</v>
      </c>
      <c r="C95">
        <v>499</v>
      </c>
    </row>
    <row r="96" spans="1:3">
      <c r="B96" t="s">
        <v>3</v>
      </c>
      <c r="C96">
        <v>149</v>
      </c>
    </row>
    <row r="97" spans="1:3">
      <c r="B97" t="s">
        <v>4</v>
      </c>
      <c r="C97">
        <v>149</v>
      </c>
    </row>
    <row r="98" spans="1:3">
      <c r="B98" t="s">
        <v>5</v>
      </c>
      <c r="C98">
        <v>99</v>
      </c>
    </row>
    <row r="99" spans="1:3">
      <c r="B99" t="s">
        <v>26</v>
      </c>
      <c r="C99">
        <v>49</v>
      </c>
    </row>
    <row r="100" spans="1:3">
      <c r="B100" t="s">
        <v>7</v>
      </c>
      <c r="C100">
        <v>299</v>
      </c>
    </row>
    <row r="101" spans="1:3">
      <c r="B101" t="s">
        <v>13</v>
      </c>
      <c r="C101">
        <v>148</v>
      </c>
    </row>
    <row r="102" spans="1:3">
      <c r="B102" t="s">
        <v>8</v>
      </c>
      <c r="C102">
        <v>248</v>
      </c>
    </row>
    <row r="103" spans="1:3">
      <c r="B103" t="s">
        <v>27</v>
      </c>
      <c r="C103">
        <v>299</v>
      </c>
    </row>
    <row r="104" spans="1:3">
      <c r="B104" t="s">
        <v>14</v>
      </c>
      <c r="C104">
        <v>299</v>
      </c>
    </row>
    <row r="105" spans="1:3">
      <c r="B105" t="s">
        <v>15</v>
      </c>
      <c r="C105">
        <v>1298</v>
      </c>
    </row>
    <row r="106" spans="1:3">
      <c r="B106" t="s">
        <v>9</v>
      </c>
      <c r="C106">
        <v>898</v>
      </c>
    </row>
    <row r="107" spans="1:3">
      <c r="B107" t="s">
        <v>21</v>
      </c>
      <c r="C107">
        <v>49</v>
      </c>
    </row>
    <row r="108" spans="1:3">
      <c r="A108">
        <v>10</v>
      </c>
      <c r="B108"/>
      <c r="C108">
        <v>13086</v>
      </c>
    </row>
    <row r="109" spans="1:3">
      <c r="B109" t="s">
        <v>3</v>
      </c>
      <c r="C109">
        <v>49</v>
      </c>
    </row>
    <row r="110" spans="1:3">
      <c r="B110" t="s">
        <v>11</v>
      </c>
      <c r="C110">
        <v>799</v>
      </c>
    </row>
    <row r="111" spans="1:3">
      <c r="B111" t="s">
        <v>6</v>
      </c>
      <c r="C111">
        <v>98</v>
      </c>
    </row>
    <row r="112" spans="1:3">
      <c r="B112" t="s">
        <v>7</v>
      </c>
      <c r="C112">
        <v>399</v>
      </c>
    </row>
    <row r="113" spans="1:3">
      <c r="B113" t="s">
        <v>12</v>
      </c>
      <c r="C113">
        <v>1499</v>
      </c>
    </row>
    <row r="114" spans="1:3">
      <c r="B114" t="s">
        <v>31</v>
      </c>
      <c r="C114">
        <v>499</v>
      </c>
    </row>
    <row r="115" spans="1:3">
      <c r="B115" t="s">
        <v>13</v>
      </c>
      <c r="C115">
        <v>2999</v>
      </c>
    </row>
    <row r="116" spans="1:3">
      <c r="B116" t="s">
        <v>19</v>
      </c>
      <c r="C116">
        <v>49</v>
      </c>
    </row>
    <row r="117" spans="1:3">
      <c r="B117" t="s">
        <v>14</v>
      </c>
      <c r="C117">
        <v>499</v>
      </c>
    </row>
    <row r="118" spans="1:3">
      <c r="B118" t="s">
        <v>20</v>
      </c>
      <c r="C118">
        <v>4999</v>
      </c>
    </row>
    <row r="119" spans="1:3">
      <c r="B119" t="s">
        <v>28</v>
      </c>
      <c r="C119">
        <v>398</v>
      </c>
    </row>
    <row r="120" spans="1:3">
      <c r="B120" t="s">
        <v>21</v>
      </c>
      <c r="C120">
        <v>799</v>
      </c>
    </row>
    <row r="121" spans="1:3">
      <c r="A121">
        <v>11</v>
      </c>
      <c r="B121"/>
      <c r="C121">
        <v>10940</v>
      </c>
    </row>
    <row r="122" spans="1:3">
      <c r="B122" t="s">
        <v>30</v>
      </c>
      <c r="C122">
        <v>1499</v>
      </c>
    </row>
    <row r="123" spans="1:3">
      <c r="B123" t="s">
        <v>4</v>
      </c>
      <c r="C123">
        <v>1499</v>
      </c>
    </row>
    <row r="124" spans="1:3">
      <c r="B124" t="s">
        <v>10</v>
      </c>
      <c r="C124">
        <v>49</v>
      </c>
    </row>
    <row r="125" spans="1:3">
      <c r="B125" t="s">
        <v>6</v>
      </c>
      <c r="C125">
        <v>4999</v>
      </c>
    </row>
    <row r="126" spans="1:3">
      <c r="B126" t="s">
        <v>27</v>
      </c>
      <c r="C126">
        <v>499</v>
      </c>
    </row>
    <row r="127" spans="1:3">
      <c r="B127" t="s">
        <v>20</v>
      </c>
      <c r="C127">
        <v>299</v>
      </c>
    </row>
    <row r="128" spans="1:3">
      <c r="B128" t="s">
        <v>28</v>
      </c>
      <c r="C128">
        <v>149</v>
      </c>
    </row>
    <row r="129" spans="1:3">
      <c r="B129" t="s">
        <v>23</v>
      </c>
      <c r="C129">
        <v>1798</v>
      </c>
    </row>
    <row r="130" spans="1:3">
      <c r="B130" t="s">
        <v>21</v>
      </c>
      <c r="C130">
        <v>149</v>
      </c>
    </row>
    <row r="131" spans="1:3">
      <c r="A131">
        <v>12</v>
      </c>
      <c r="B131"/>
      <c r="C131">
        <v>10387</v>
      </c>
    </row>
    <row r="132" spans="1:3">
      <c r="B132" t="s">
        <v>25</v>
      </c>
      <c r="C132">
        <v>548</v>
      </c>
    </row>
    <row r="133" spans="1:3">
      <c r="B133" t="s">
        <v>5</v>
      </c>
      <c r="C133">
        <v>799</v>
      </c>
    </row>
    <row r="134" spans="1:3">
      <c r="B134" t="s">
        <v>7</v>
      </c>
      <c r="C134">
        <v>1998</v>
      </c>
    </row>
    <row r="135" spans="1:3">
      <c r="B135" t="s">
        <v>31</v>
      </c>
      <c r="C135">
        <v>548</v>
      </c>
    </row>
    <row r="136" spans="1:3">
      <c r="B136" t="s">
        <v>27</v>
      </c>
      <c r="C136">
        <v>799</v>
      </c>
    </row>
    <row r="137" spans="1:3">
      <c r="B137" t="s">
        <v>15</v>
      </c>
      <c r="C137">
        <v>99</v>
      </c>
    </row>
    <row r="138" spans="1:3">
      <c r="B138" t="s">
        <v>9</v>
      </c>
      <c r="C138">
        <v>448</v>
      </c>
    </row>
    <row r="139" spans="1:3">
      <c r="B139" t="s">
        <v>29</v>
      </c>
      <c r="C139">
        <v>149</v>
      </c>
    </row>
    <row r="140" spans="1:3">
      <c r="B140" t="s">
        <v>17</v>
      </c>
      <c r="C140">
        <v>4999</v>
      </c>
    </row>
    <row r="141" spans="1:3">
      <c r="A141">
        <v>13</v>
      </c>
      <c r="B141"/>
      <c r="C141">
        <v>18388</v>
      </c>
    </row>
    <row r="142" spans="1:3">
      <c r="B142" t="s">
        <v>11</v>
      </c>
      <c r="C142">
        <v>149</v>
      </c>
    </row>
    <row r="143" spans="1:3">
      <c r="B143" t="s">
        <v>5</v>
      </c>
      <c r="C143">
        <v>198</v>
      </c>
    </row>
    <row r="144" spans="1:3">
      <c r="B144" t="s">
        <v>26</v>
      </c>
      <c r="C144">
        <v>99</v>
      </c>
    </row>
    <row r="145" spans="1:3">
      <c r="B145" t="s">
        <v>31</v>
      </c>
      <c r="C145">
        <v>1499</v>
      </c>
    </row>
    <row r="146" spans="1:3">
      <c r="B146" t="s">
        <v>13</v>
      </c>
      <c r="C146">
        <v>49</v>
      </c>
    </row>
    <row r="147" spans="1:3">
      <c r="B147" t="s">
        <v>20</v>
      </c>
      <c r="C147">
        <v>4999</v>
      </c>
    </row>
    <row r="148" spans="1:3">
      <c r="B148" t="s">
        <v>28</v>
      </c>
      <c r="C148">
        <v>4999</v>
      </c>
    </row>
    <row r="149" spans="1:3">
      <c r="B149" t="s">
        <v>23</v>
      </c>
      <c r="C149">
        <v>2999</v>
      </c>
    </row>
    <row r="150" spans="1:3">
      <c r="B150" t="s">
        <v>16</v>
      </c>
      <c r="C150">
        <v>299</v>
      </c>
    </row>
    <row r="151" spans="1:3">
      <c r="B151" t="s">
        <v>29</v>
      </c>
      <c r="C151">
        <v>99</v>
      </c>
    </row>
    <row r="152" spans="1:3">
      <c r="B152" t="s">
        <v>32</v>
      </c>
      <c r="C152">
        <v>2999</v>
      </c>
    </row>
    <row r="153" spans="1:3">
      <c r="A153">
        <v>14</v>
      </c>
      <c r="B153"/>
      <c r="C153">
        <v>6488</v>
      </c>
    </row>
    <row r="154" spans="1:3">
      <c r="B154" t="s">
        <v>25</v>
      </c>
      <c r="C154">
        <v>299</v>
      </c>
    </row>
    <row r="155" spans="1:3">
      <c r="B155" t="s">
        <v>22</v>
      </c>
      <c r="C155">
        <v>1499</v>
      </c>
    </row>
    <row r="156" spans="1:3">
      <c r="B156" t="s">
        <v>18</v>
      </c>
      <c r="C156">
        <v>149</v>
      </c>
    </row>
    <row r="157" spans="1:3">
      <c r="B157" t="s">
        <v>30</v>
      </c>
      <c r="C157">
        <v>99</v>
      </c>
    </row>
    <row r="158" spans="1:3">
      <c r="B158" t="s">
        <v>3</v>
      </c>
      <c r="C158">
        <v>1499</v>
      </c>
    </row>
    <row r="159" spans="1:3">
      <c r="B159" t="s">
        <v>10</v>
      </c>
      <c r="C159">
        <v>49</v>
      </c>
    </row>
    <row r="160" spans="1:3">
      <c r="B160" t="s">
        <v>11</v>
      </c>
      <c r="C160">
        <v>799</v>
      </c>
    </row>
    <row r="161" spans="1:3">
      <c r="B161" t="s">
        <v>27</v>
      </c>
      <c r="C161">
        <v>99</v>
      </c>
    </row>
    <row r="162" spans="1:3">
      <c r="B162" t="s">
        <v>14</v>
      </c>
      <c r="C162">
        <v>99</v>
      </c>
    </row>
    <row r="163" spans="1:3">
      <c r="B163" t="s">
        <v>20</v>
      </c>
      <c r="C163">
        <v>299</v>
      </c>
    </row>
    <row r="164" spans="1:3">
      <c r="B164" t="s">
        <v>24</v>
      </c>
      <c r="C164">
        <v>1598</v>
      </c>
    </row>
    <row r="165" spans="1:3">
      <c r="A165">
        <v>15</v>
      </c>
      <c r="B165"/>
      <c r="C165">
        <v>7838</v>
      </c>
    </row>
    <row r="166" spans="1:3">
      <c r="B166" t="s">
        <v>25</v>
      </c>
      <c r="C166">
        <v>499</v>
      </c>
    </row>
    <row r="167" spans="1:3">
      <c r="B167" t="s">
        <v>10</v>
      </c>
      <c r="C167">
        <v>49</v>
      </c>
    </row>
    <row r="168" spans="1:3">
      <c r="B168" t="s">
        <v>26</v>
      </c>
      <c r="C168">
        <v>49</v>
      </c>
    </row>
    <row r="169" spans="1:3">
      <c r="B169" t="s">
        <v>12</v>
      </c>
      <c r="C169">
        <v>299</v>
      </c>
    </row>
    <row r="170" spans="1:3">
      <c r="B170" t="s">
        <v>31</v>
      </c>
      <c r="C170">
        <v>399</v>
      </c>
    </row>
    <row r="171" spans="1:3">
      <c r="B171" t="s">
        <v>14</v>
      </c>
      <c r="C171">
        <v>499</v>
      </c>
    </row>
    <row r="172" spans="1:3">
      <c r="B172" t="s">
        <v>23</v>
      </c>
      <c r="C172">
        <v>148</v>
      </c>
    </row>
    <row r="173" spans="1:3">
      <c r="B173" t="s">
        <v>16</v>
      </c>
      <c r="C173">
        <v>4999</v>
      </c>
    </row>
    <row r="174" spans="1:3">
      <c r="B174" t="s">
        <v>29</v>
      </c>
      <c r="C174">
        <v>799</v>
      </c>
    </row>
    <row r="175" spans="1:3">
      <c r="B175" t="s">
        <v>21</v>
      </c>
      <c r="C175">
        <v>98</v>
      </c>
    </row>
    <row r="176" spans="1:3">
      <c r="A176">
        <v>16</v>
      </c>
      <c r="B176"/>
      <c r="C176">
        <v>11130</v>
      </c>
    </row>
    <row r="177" spans="1:3">
      <c r="B177" t="s">
        <v>22</v>
      </c>
      <c r="C177">
        <v>499</v>
      </c>
    </row>
    <row r="178" spans="1:3">
      <c r="B178" t="s">
        <v>18</v>
      </c>
      <c r="C178">
        <v>99</v>
      </c>
    </row>
    <row r="179" spans="1:3">
      <c r="B179" t="s">
        <v>30</v>
      </c>
      <c r="C179">
        <v>49</v>
      </c>
    </row>
    <row r="180" spans="1:3">
      <c r="B180" t="s">
        <v>3</v>
      </c>
      <c r="C180">
        <v>149</v>
      </c>
    </row>
    <row r="181" spans="1:3">
      <c r="B181" t="s">
        <v>6</v>
      </c>
      <c r="C181">
        <v>499</v>
      </c>
    </row>
    <row r="182" spans="1:3">
      <c r="B182" t="s">
        <v>13</v>
      </c>
      <c r="C182">
        <v>2999</v>
      </c>
    </row>
    <row r="183" spans="1:3">
      <c r="B183" t="s">
        <v>27</v>
      </c>
      <c r="C183">
        <v>49</v>
      </c>
    </row>
    <row r="184" spans="1:3">
      <c r="B184" t="s">
        <v>20</v>
      </c>
      <c r="C184">
        <v>448</v>
      </c>
    </row>
    <row r="185" spans="1:3">
      <c r="B185" t="s">
        <v>9</v>
      </c>
      <c r="C185">
        <v>399</v>
      </c>
    </row>
    <row r="186" spans="1:3">
      <c r="B186" t="s">
        <v>23</v>
      </c>
      <c r="C186">
        <v>1548</v>
      </c>
    </row>
    <row r="187" spans="1:3">
      <c r="B187" t="s">
        <v>24</v>
      </c>
      <c r="C187">
        <v>98</v>
      </c>
    </row>
    <row r="188" spans="1:3">
      <c r="B188" t="s">
        <v>29</v>
      </c>
      <c r="C188">
        <v>348</v>
      </c>
    </row>
    <row r="189" spans="1:3">
      <c r="B189" t="s">
        <v>32</v>
      </c>
      <c r="C189">
        <v>49</v>
      </c>
    </row>
    <row r="190" spans="1:3">
      <c r="B190" t="s">
        <v>21</v>
      </c>
      <c r="C190">
        <v>2999</v>
      </c>
    </row>
    <row r="191" spans="1:3">
      <c r="B191" t="s">
        <v>17</v>
      </c>
      <c r="C191">
        <v>898</v>
      </c>
    </row>
    <row r="192" spans="1:3">
      <c r="A192">
        <v>17</v>
      </c>
      <c r="B192"/>
      <c r="C192">
        <v>13037</v>
      </c>
    </row>
    <row r="193" spans="1:3">
      <c r="B193" t="s">
        <v>25</v>
      </c>
      <c r="C193">
        <v>1499</v>
      </c>
    </row>
    <row r="194" spans="1:3">
      <c r="B194" t="s">
        <v>22</v>
      </c>
      <c r="C194">
        <v>299</v>
      </c>
    </row>
    <row r="195" spans="1:3">
      <c r="B195" t="s">
        <v>18</v>
      </c>
      <c r="C195">
        <v>398</v>
      </c>
    </row>
    <row r="196" spans="1:3">
      <c r="B196" t="s">
        <v>6</v>
      </c>
      <c r="C196">
        <v>7998</v>
      </c>
    </row>
    <row r="197" spans="1:3">
      <c r="B197" t="s">
        <v>7</v>
      </c>
      <c r="C197">
        <v>1499</v>
      </c>
    </row>
    <row r="198" spans="1:3">
      <c r="B198" t="s">
        <v>8</v>
      </c>
      <c r="C198">
        <v>299</v>
      </c>
    </row>
    <row r="199" spans="1:3">
      <c r="B199" t="s">
        <v>27</v>
      </c>
      <c r="C199">
        <v>198</v>
      </c>
    </row>
    <row r="200" spans="1:3">
      <c r="B200" t="s">
        <v>14</v>
      </c>
      <c r="C200">
        <v>49</v>
      </c>
    </row>
    <row r="201" spans="1:3">
      <c r="B201" t="s">
        <v>32</v>
      </c>
      <c r="C201">
        <v>299</v>
      </c>
    </row>
    <row r="202" spans="1:3">
      <c r="B202" t="s">
        <v>17</v>
      </c>
      <c r="C202">
        <v>499</v>
      </c>
    </row>
    <row r="203" spans="1:3">
      <c r="A203">
        <v>18</v>
      </c>
      <c r="B203"/>
      <c r="C203">
        <v>7089</v>
      </c>
    </row>
    <row r="204" spans="1:3">
      <c r="B204" t="s">
        <v>4</v>
      </c>
      <c r="C204">
        <v>499</v>
      </c>
    </row>
    <row r="205" spans="1:3">
      <c r="B205" t="s">
        <v>6</v>
      </c>
      <c r="C205">
        <v>799</v>
      </c>
    </row>
    <row r="206" spans="1:3">
      <c r="B206" t="s">
        <v>7</v>
      </c>
      <c r="C206">
        <v>49</v>
      </c>
    </row>
    <row r="207" spans="1:3">
      <c r="B207" t="s">
        <v>31</v>
      </c>
      <c r="C207">
        <v>149</v>
      </c>
    </row>
    <row r="208" spans="1:3">
      <c r="B208" t="s">
        <v>13</v>
      </c>
      <c r="C208">
        <v>149</v>
      </c>
    </row>
    <row r="209" spans="1:3">
      <c r="B209" t="s">
        <v>19</v>
      </c>
      <c r="C209">
        <v>3148</v>
      </c>
    </row>
    <row r="210" spans="1:3">
      <c r="B210" t="s">
        <v>27</v>
      </c>
      <c r="C210">
        <v>499</v>
      </c>
    </row>
    <row r="211" spans="1:3">
      <c r="B211" t="s">
        <v>20</v>
      </c>
      <c r="C211">
        <v>149</v>
      </c>
    </row>
    <row r="212" spans="1:3">
      <c r="B212" t="s">
        <v>24</v>
      </c>
      <c r="C212">
        <v>1648</v>
      </c>
    </row>
    <row r="213" spans="1:3">
      <c r="A213">
        <v>19</v>
      </c>
      <c r="B213"/>
      <c r="C213">
        <v>12836</v>
      </c>
    </row>
    <row r="214" spans="1:3">
      <c r="B214" t="s">
        <v>22</v>
      </c>
      <c r="C214">
        <v>149</v>
      </c>
    </row>
    <row r="215" spans="1:3">
      <c r="B215" t="s">
        <v>4</v>
      </c>
      <c r="C215">
        <v>499</v>
      </c>
    </row>
    <row r="216" spans="1:3">
      <c r="B216" t="s">
        <v>5</v>
      </c>
      <c r="C216">
        <v>99</v>
      </c>
    </row>
    <row r="217" spans="1:3">
      <c r="B217" t="s">
        <v>26</v>
      </c>
      <c r="C217">
        <v>2999</v>
      </c>
    </row>
    <row r="218" spans="1:3">
      <c r="B218" t="s">
        <v>13</v>
      </c>
      <c r="C218">
        <v>398</v>
      </c>
    </row>
    <row r="219" spans="1:3">
      <c r="B219" t="s">
        <v>19</v>
      </c>
      <c r="C219">
        <v>4999</v>
      </c>
    </row>
    <row r="220" spans="1:3">
      <c r="B220" t="s">
        <v>14</v>
      </c>
      <c r="C220">
        <v>99</v>
      </c>
    </row>
    <row r="221" spans="1:3">
      <c r="B221" t="s">
        <v>20</v>
      </c>
      <c r="C221">
        <v>348</v>
      </c>
    </row>
    <row r="222" spans="1:3">
      <c r="B222" t="s">
        <v>15</v>
      </c>
      <c r="C222">
        <v>2999</v>
      </c>
    </row>
    <row r="223" spans="1:3">
      <c r="B223" t="s">
        <v>23</v>
      </c>
      <c r="C223">
        <v>149</v>
      </c>
    </row>
    <row r="224" spans="1:3">
      <c r="B224" t="s">
        <v>24</v>
      </c>
      <c r="C224">
        <v>49</v>
      </c>
    </row>
    <row r="225" spans="1:3">
      <c r="B225" t="s">
        <v>16</v>
      </c>
      <c r="C225">
        <v>49</v>
      </c>
    </row>
    <row r="226" spans="1:3">
      <c r="A226">
        <v>20</v>
      </c>
      <c r="B226"/>
      <c r="C226">
        <v>4241</v>
      </c>
    </row>
    <row r="227" spans="1:3">
      <c r="B227" t="s">
        <v>22</v>
      </c>
      <c r="C227">
        <v>49</v>
      </c>
    </row>
    <row r="228" spans="1:3">
      <c r="B228" t="s">
        <v>18</v>
      </c>
      <c r="C228">
        <v>348</v>
      </c>
    </row>
    <row r="229" spans="1:3">
      <c r="B229" t="s">
        <v>30</v>
      </c>
      <c r="C229">
        <v>2999</v>
      </c>
    </row>
    <row r="230" spans="1:3">
      <c r="B230" t="s">
        <v>26</v>
      </c>
      <c r="C230">
        <v>149</v>
      </c>
    </row>
    <row r="231" spans="1:3">
      <c r="B231" t="s">
        <v>28</v>
      </c>
      <c r="C231">
        <v>99</v>
      </c>
    </row>
    <row r="232" spans="1:3">
      <c r="B232" t="s">
        <v>9</v>
      </c>
      <c r="C232">
        <v>49</v>
      </c>
    </row>
    <row r="233" spans="1:3">
      <c r="B233" t="s">
        <v>23</v>
      </c>
      <c r="C233">
        <v>49</v>
      </c>
    </row>
    <row r="234" spans="1:3">
      <c r="B234" t="s">
        <v>21</v>
      </c>
      <c r="C234">
        <v>499</v>
      </c>
    </row>
    <row r="235" spans="1:3">
      <c r="A235">
        <v>21</v>
      </c>
      <c r="B235"/>
      <c r="C235">
        <v>8886</v>
      </c>
    </row>
    <row r="236" spans="1:3">
      <c r="B236" t="s">
        <v>25</v>
      </c>
      <c r="C236">
        <v>5298</v>
      </c>
    </row>
    <row r="237" spans="1:3">
      <c r="B237" t="s">
        <v>3</v>
      </c>
      <c r="C237">
        <v>499</v>
      </c>
    </row>
    <row r="238" spans="1:3">
      <c r="B238" t="s">
        <v>5</v>
      </c>
      <c r="C238">
        <v>499</v>
      </c>
    </row>
    <row r="239" spans="1:3">
      <c r="B239" t="s">
        <v>31</v>
      </c>
      <c r="C239">
        <v>49</v>
      </c>
    </row>
    <row r="240" spans="1:3">
      <c r="B240" t="s">
        <v>13</v>
      </c>
      <c r="C240">
        <v>299</v>
      </c>
    </row>
    <row r="241" spans="1:3">
      <c r="B241" t="s">
        <v>19</v>
      </c>
      <c r="C241">
        <v>799</v>
      </c>
    </row>
    <row r="242" spans="1:3">
      <c r="B242" t="s">
        <v>27</v>
      </c>
      <c r="C242">
        <v>799</v>
      </c>
    </row>
    <row r="243" spans="1:3">
      <c r="B243" t="s">
        <v>14</v>
      </c>
      <c r="C243">
        <v>99</v>
      </c>
    </row>
    <row r="244" spans="1:3">
      <c r="B244" t="s">
        <v>20</v>
      </c>
      <c r="C244">
        <v>49</v>
      </c>
    </row>
    <row r="245" spans="1:3">
      <c r="B245" t="s">
        <v>28</v>
      </c>
      <c r="C245">
        <v>49</v>
      </c>
    </row>
    <row r="246" spans="1:3">
      <c r="B246" t="s">
        <v>24</v>
      </c>
      <c r="C246">
        <v>299</v>
      </c>
    </row>
    <row r="247" spans="1:3">
      <c r="B247" t="s">
        <v>16</v>
      </c>
      <c r="C247">
        <v>99</v>
      </c>
    </row>
    <row r="248" spans="1:3">
      <c r="B248" t="s">
        <v>29</v>
      </c>
      <c r="C248">
        <v>49</v>
      </c>
    </row>
    <row r="249" spans="1:3">
      <c r="A249">
        <v>22</v>
      </c>
      <c r="B249"/>
      <c r="C249">
        <v>12534</v>
      </c>
    </row>
    <row r="250" spans="1:3">
      <c r="B250" t="s">
        <v>25</v>
      </c>
      <c r="C250">
        <v>799</v>
      </c>
    </row>
    <row r="251" spans="1:3">
      <c r="B251" t="s">
        <v>3</v>
      </c>
      <c r="C251">
        <v>448</v>
      </c>
    </row>
    <row r="252" spans="1:3">
      <c r="B252" t="s">
        <v>10</v>
      </c>
      <c r="C252">
        <v>499</v>
      </c>
    </row>
    <row r="253" spans="1:3">
      <c r="B253" t="s">
        <v>26</v>
      </c>
      <c r="C253">
        <v>499</v>
      </c>
    </row>
    <row r="254" spans="1:3">
      <c r="B254" t="s">
        <v>6</v>
      </c>
      <c r="C254">
        <v>299</v>
      </c>
    </row>
    <row r="255" spans="1:3">
      <c r="B255" t="s">
        <v>7</v>
      </c>
      <c r="C255">
        <v>1697</v>
      </c>
    </row>
    <row r="256" spans="1:3">
      <c r="B256" t="s">
        <v>12</v>
      </c>
      <c r="C256">
        <v>5798</v>
      </c>
    </row>
    <row r="257" spans="1:3">
      <c r="B257" t="s">
        <v>31</v>
      </c>
      <c r="C257">
        <v>799</v>
      </c>
    </row>
    <row r="258" spans="1:3">
      <c r="B258" t="s">
        <v>8</v>
      </c>
      <c r="C258">
        <v>1598</v>
      </c>
    </row>
    <row r="259" spans="1:3">
      <c r="B259" t="s">
        <v>9</v>
      </c>
      <c r="C259">
        <v>49</v>
      </c>
    </row>
    <row r="260" spans="1:3">
      <c r="B260" t="s">
        <v>21</v>
      </c>
      <c r="C260">
        <v>49</v>
      </c>
    </row>
    <row r="261" spans="1:3">
      <c r="A261">
        <v>23</v>
      </c>
      <c r="B261"/>
      <c r="C261">
        <v>3040</v>
      </c>
    </row>
    <row r="262" spans="1:3">
      <c r="B262" t="s">
        <v>11</v>
      </c>
      <c r="C262">
        <v>99</v>
      </c>
    </row>
    <row r="263" spans="1:3">
      <c r="B263" t="s">
        <v>5</v>
      </c>
      <c r="C263">
        <v>399</v>
      </c>
    </row>
    <row r="264" spans="1:3">
      <c r="B264" t="s">
        <v>7</v>
      </c>
      <c r="C264">
        <v>149</v>
      </c>
    </row>
    <row r="265" spans="1:3">
      <c r="B265" t="s">
        <v>8</v>
      </c>
      <c r="C265">
        <v>49</v>
      </c>
    </row>
    <row r="266" spans="1:3">
      <c r="B266" t="s">
        <v>27</v>
      </c>
      <c r="C266">
        <v>1999</v>
      </c>
    </row>
    <row r="267" spans="1:3">
      <c r="B267" t="s">
        <v>15</v>
      </c>
      <c r="C267">
        <v>49</v>
      </c>
    </row>
    <row r="268" spans="1:3">
      <c r="B268" t="s">
        <v>9</v>
      </c>
      <c r="C268">
        <v>247</v>
      </c>
    </row>
    <row r="269" spans="1:3">
      <c r="B269" t="s">
        <v>16</v>
      </c>
      <c r="C269">
        <v>49</v>
      </c>
    </row>
    <row r="270" spans="1:3">
      <c r="A270">
        <v>24</v>
      </c>
      <c r="B270"/>
      <c r="C270">
        <v>3587</v>
      </c>
    </row>
    <row r="271" spans="1:3">
      <c r="B271" t="s">
        <v>18</v>
      </c>
      <c r="C271">
        <v>49</v>
      </c>
    </row>
    <row r="272" spans="1:3">
      <c r="B272" t="s">
        <v>30</v>
      </c>
      <c r="C272">
        <v>149</v>
      </c>
    </row>
    <row r="273" spans="1:3">
      <c r="B273" t="s">
        <v>10</v>
      </c>
      <c r="C273">
        <v>299</v>
      </c>
    </row>
    <row r="274" spans="1:3">
      <c r="B274" t="s">
        <v>6</v>
      </c>
      <c r="C274">
        <v>799</v>
      </c>
    </row>
    <row r="275" spans="1:3">
      <c r="B275" t="s">
        <v>7</v>
      </c>
      <c r="C275">
        <v>149</v>
      </c>
    </row>
    <row r="276" spans="1:3">
      <c r="B276" t="s">
        <v>31</v>
      </c>
      <c r="C276">
        <v>499</v>
      </c>
    </row>
    <row r="277" spans="1:3">
      <c r="B277" t="s">
        <v>20</v>
      </c>
      <c r="C277">
        <v>299</v>
      </c>
    </row>
    <row r="278" spans="1:3">
      <c r="B278" t="s">
        <v>28</v>
      </c>
      <c r="C278">
        <v>799</v>
      </c>
    </row>
    <row r="279" spans="1:3">
      <c r="B279" t="s">
        <v>15</v>
      </c>
      <c r="C279">
        <v>49</v>
      </c>
    </row>
    <row r="280" spans="1:3">
      <c r="B280" t="s">
        <v>23</v>
      </c>
      <c r="C280">
        <v>148</v>
      </c>
    </row>
    <row r="281" spans="1:3">
      <c r="B281" t="s">
        <v>16</v>
      </c>
      <c r="C281">
        <v>348</v>
      </c>
    </row>
    <row r="282" spans="1:3">
      <c r="A282">
        <v>25</v>
      </c>
      <c r="B282"/>
      <c r="C282">
        <v>15533</v>
      </c>
    </row>
    <row r="283" spans="1:3">
      <c r="B283" t="s">
        <v>22</v>
      </c>
      <c r="C283">
        <v>99</v>
      </c>
    </row>
    <row r="284" spans="1:3">
      <c r="B284" t="s">
        <v>3</v>
      </c>
      <c r="C284">
        <v>4498</v>
      </c>
    </row>
    <row r="285" spans="1:3">
      <c r="B285" t="s">
        <v>4</v>
      </c>
      <c r="C285">
        <v>898</v>
      </c>
    </row>
    <row r="286" spans="1:3">
      <c r="B286" t="s">
        <v>6</v>
      </c>
      <c r="C286">
        <v>799</v>
      </c>
    </row>
    <row r="287" spans="1:3">
      <c r="B287" t="s">
        <v>12</v>
      </c>
      <c r="C287">
        <v>49</v>
      </c>
    </row>
    <row r="288" spans="1:3">
      <c r="B288" t="s">
        <v>13</v>
      </c>
      <c r="C288">
        <v>49</v>
      </c>
    </row>
    <row r="289" spans="1:3">
      <c r="B289" t="s">
        <v>19</v>
      </c>
      <c r="C289">
        <v>799</v>
      </c>
    </row>
    <row r="290" spans="1:3">
      <c r="B290" t="s">
        <v>14</v>
      </c>
      <c r="C290">
        <v>4498</v>
      </c>
    </row>
    <row r="291" spans="1:3">
      <c r="B291" t="s">
        <v>23</v>
      </c>
      <c r="C291">
        <v>497</v>
      </c>
    </row>
    <row r="292" spans="1:3">
      <c r="B292" t="s">
        <v>32</v>
      </c>
      <c r="C292">
        <v>299</v>
      </c>
    </row>
    <row r="293" spans="1:3">
      <c r="B293" t="s">
        <v>21</v>
      </c>
      <c r="C293">
        <v>3048</v>
      </c>
    </row>
    <row r="294" spans="1:3">
      <c r="A294">
        <v>26</v>
      </c>
      <c r="B294"/>
      <c r="C294">
        <v>5188</v>
      </c>
    </row>
    <row r="295" spans="1:3">
      <c r="B295" t="s">
        <v>22</v>
      </c>
      <c r="C295">
        <v>399</v>
      </c>
    </row>
    <row r="296" spans="1:3">
      <c r="B296" t="s">
        <v>18</v>
      </c>
      <c r="C296">
        <v>99</v>
      </c>
    </row>
    <row r="297" spans="1:3">
      <c r="B297" t="s">
        <v>4</v>
      </c>
      <c r="C297">
        <v>49</v>
      </c>
    </row>
    <row r="298" spans="1:3">
      <c r="B298" t="s">
        <v>26</v>
      </c>
      <c r="C298">
        <v>299</v>
      </c>
    </row>
    <row r="299" spans="1:3">
      <c r="B299" t="s">
        <v>7</v>
      </c>
      <c r="C299">
        <v>299</v>
      </c>
    </row>
    <row r="300" spans="1:3">
      <c r="B300" t="s">
        <v>31</v>
      </c>
      <c r="C300">
        <v>299</v>
      </c>
    </row>
    <row r="301" spans="1:3">
      <c r="B301" t="s">
        <v>15</v>
      </c>
      <c r="C301">
        <v>499</v>
      </c>
    </row>
    <row r="302" spans="1:3">
      <c r="B302" t="s">
        <v>9</v>
      </c>
      <c r="C302">
        <v>99</v>
      </c>
    </row>
    <row r="303" spans="1:3">
      <c r="B303" t="s">
        <v>32</v>
      </c>
      <c r="C303">
        <v>1499</v>
      </c>
    </row>
    <row r="304" spans="1:3">
      <c r="B304" t="s">
        <v>21</v>
      </c>
      <c r="C304">
        <v>148</v>
      </c>
    </row>
    <row r="305" spans="1:3">
      <c r="B305" t="s">
        <v>17</v>
      </c>
      <c r="C305">
        <v>1499</v>
      </c>
    </row>
    <row r="306" spans="1:3">
      <c r="A306">
        <v>27</v>
      </c>
      <c r="B306"/>
      <c r="C306">
        <v>13584</v>
      </c>
    </row>
    <row r="307" spans="1:3">
      <c r="B307" t="s">
        <v>25</v>
      </c>
      <c r="C307">
        <v>149</v>
      </c>
    </row>
    <row r="308" spans="1:3">
      <c r="B308" t="s">
        <v>30</v>
      </c>
      <c r="C308">
        <v>49</v>
      </c>
    </row>
    <row r="309" spans="1:3">
      <c r="B309" t="s">
        <v>26</v>
      </c>
      <c r="C309">
        <v>149</v>
      </c>
    </row>
    <row r="310" spans="1:3">
      <c r="B310" t="s">
        <v>7</v>
      </c>
      <c r="C310">
        <v>299</v>
      </c>
    </row>
    <row r="311" spans="1:3">
      <c r="B311" t="s">
        <v>31</v>
      </c>
      <c r="C311">
        <v>149</v>
      </c>
    </row>
    <row r="312" spans="1:3">
      <c r="B312" t="s">
        <v>13</v>
      </c>
      <c r="C312">
        <v>1499</v>
      </c>
    </row>
    <row r="313" spans="1:3">
      <c r="B313" t="s">
        <v>8</v>
      </c>
      <c r="C313">
        <v>1597</v>
      </c>
    </row>
    <row r="314" spans="1:3">
      <c r="B314" t="s">
        <v>14</v>
      </c>
      <c r="C314">
        <v>49</v>
      </c>
    </row>
    <row r="315" spans="1:3">
      <c r="B315" t="s">
        <v>20</v>
      </c>
      <c r="C315">
        <v>4999</v>
      </c>
    </row>
    <row r="316" spans="1:3">
      <c r="B316" t="s">
        <v>28</v>
      </c>
      <c r="C316">
        <v>499</v>
      </c>
    </row>
    <row r="317" spans="1:3">
      <c r="B317" t="s">
        <v>15</v>
      </c>
      <c r="C317">
        <v>49</v>
      </c>
    </row>
    <row r="318" spans="1:3">
      <c r="B318" t="s">
        <v>9</v>
      </c>
      <c r="C318">
        <v>3998</v>
      </c>
    </row>
    <row r="319" spans="1:3">
      <c r="B319" t="s">
        <v>23</v>
      </c>
      <c r="C319">
        <v>99</v>
      </c>
    </row>
    <row r="320" spans="1:3">
      <c r="A320">
        <v>28</v>
      </c>
      <c r="B320"/>
      <c r="C320">
        <v>9540</v>
      </c>
    </row>
    <row r="321" spans="1:3">
      <c r="B321" t="s">
        <v>11</v>
      </c>
      <c r="C321">
        <v>49</v>
      </c>
    </row>
    <row r="322" spans="1:3">
      <c r="B322" t="s">
        <v>5</v>
      </c>
      <c r="C322">
        <v>2999</v>
      </c>
    </row>
    <row r="323" spans="1:3">
      <c r="B323" t="s">
        <v>26</v>
      </c>
      <c r="C323">
        <v>499</v>
      </c>
    </row>
    <row r="324" spans="1:3">
      <c r="B324" t="s">
        <v>6</v>
      </c>
      <c r="C324">
        <v>49</v>
      </c>
    </row>
    <row r="325" spans="1:3">
      <c r="B325" t="s">
        <v>31</v>
      </c>
      <c r="C325">
        <v>49</v>
      </c>
    </row>
    <row r="326" spans="1:3">
      <c r="B326" t="s">
        <v>13</v>
      </c>
      <c r="C326">
        <v>2999</v>
      </c>
    </row>
    <row r="327" spans="1:3">
      <c r="B327" t="s">
        <v>19</v>
      </c>
      <c r="C327">
        <v>299</v>
      </c>
    </row>
    <row r="328" spans="1:3">
      <c r="B328" t="s">
        <v>28</v>
      </c>
      <c r="C328">
        <v>1999</v>
      </c>
    </row>
    <row r="329" spans="1:3">
      <c r="B329" t="s">
        <v>15</v>
      </c>
      <c r="C329">
        <v>99</v>
      </c>
    </row>
    <row r="330" spans="1:3">
      <c r="B330" t="s">
        <v>17</v>
      </c>
      <c r="C330">
        <v>499</v>
      </c>
    </row>
    <row r="331" spans="1:3">
      <c r="A331">
        <v>29</v>
      </c>
      <c r="B331"/>
      <c r="C331">
        <v>13081</v>
      </c>
    </row>
    <row r="332" spans="1:3">
      <c r="B332" t="s">
        <v>30</v>
      </c>
      <c r="C332">
        <v>99</v>
      </c>
    </row>
    <row r="333" spans="1:3">
      <c r="B333" t="s">
        <v>3</v>
      </c>
      <c r="C333">
        <v>799</v>
      </c>
    </row>
    <row r="334" spans="1:3">
      <c r="B334" t="s">
        <v>11</v>
      </c>
      <c r="C334">
        <v>2999</v>
      </c>
    </row>
    <row r="335" spans="1:3">
      <c r="B335" t="s">
        <v>5</v>
      </c>
      <c r="C335">
        <v>499</v>
      </c>
    </row>
    <row r="336" spans="1:3">
      <c r="B336" t="s">
        <v>7</v>
      </c>
      <c r="C336">
        <v>399</v>
      </c>
    </row>
    <row r="337" spans="1:3">
      <c r="B337" t="s">
        <v>31</v>
      </c>
      <c r="C337">
        <v>1998</v>
      </c>
    </row>
    <row r="338" spans="1:3">
      <c r="B338" t="s">
        <v>13</v>
      </c>
      <c r="C338">
        <v>1098</v>
      </c>
    </row>
    <row r="339" spans="1:3">
      <c r="B339" t="s">
        <v>8</v>
      </c>
      <c r="C339">
        <v>49</v>
      </c>
    </row>
    <row r="340" spans="1:3">
      <c r="B340" t="s">
        <v>14</v>
      </c>
      <c r="C340">
        <v>49</v>
      </c>
    </row>
    <row r="341" spans="1:3">
      <c r="B341" t="s">
        <v>20</v>
      </c>
      <c r="C341">
        <v>149</v>
      </c>
    </row>
    <row r="342" spans="1:3">
      <c r="B342" t="s">
        <v>24</v>
      </c>
      <c r="C342">
        <v>3896</v>
      </c>
    </row>
    <row r="343" spans="1:3">
      <c r="B343" t="s">
        <v>29</v>
      </c>
      <c r="C343">
        <v>898</v>
      </c>
    </row>
    <row r="344" spans="1:3">
      <c r="B344" t="s">
        <v>32</v>
      </c>
      <c r="C344">
        <v>149</v>
      </c>
    </row>
    <row r="345" spans="1:3">
      <c r="A345">
        <v>30</v>
      </c>
      <c r="B345"/>
      <c r="C345">
        <v>7883</v>
      </c>
    </row>
    <row r="346" spans="1:3">
      <c r="B346" t="s">
        <v>18</v>
      </c>
      <c r="C346">
        <v>149</v>
      </c>
    </row>
    <row r="347" spans="1:3">
      <c r="B347" t="s">
        <v>11</v>
      </c>
      <c r="C347">
        <v>1197</v>
      </c>
    </row>
    <row r="348" spans="1:3">
      <c r="B348" t="s">
        <v>5</v>
      </c>
      <c r="C348">
        <v>99</v>
      </c>
    </row>
    <row r="349" spans="1:3">
      <c r="B349" t="s">
        <v>7</v>
      </c>
      <c r="C349">
        <v>499</v>
      </c>
    </row>
    <row r="350" spans="1:3">
      <c r="B350" t="s">
        <v>12</v>
      </c>
      <c r="C350">
        <v>1499</v>
      </c>
    </row>
    <row r="351" spans="1:3">
      <c r="B351" t="s">
        <v>31</v>
      </c>
      <c r="C351">
        <v>2497</v>
      </c>
    </row>
    <row r="352" spans="1:3">
      <c r="B352" t="s">
        <v>13</v>
      </c>
      <c r="C352">
        <v>49</v>
      </c>
    </row>
    <row r="353" spans="1:3">
      <c r="B353" t="s">
        <v>8</v>
      </c>
      <c r="C353">
        <v>49</v>
      </c>
    </row>
    <row r="354" spans="1:3">
      <c r="B354" t="s">
        <v>27</v>
      </c>
      <c r="C354">
        <v>799</v>
      </c>
    </row>
    <row r="355" spans="1:3">
      <c r="B355" t="s">
        <v>16</v>
      </c>
      <c r="C355">
        <v>799</v>
      </c>
    </row>
    <row r="356" spans="1:3">
      <c r="B356" t="s">
        <v>32</v>
      </c>
      <c r="C356">
        <v>49</v>
      </c>
    </row>
    <row r="357" spans="1:3">
      <c r="B357" t="s">
        <v>21</v>
      </c>
      <c r="C357">
        <v>149</v>
      </c>
    </row>
    <row r="358" spans="1:3">
      <c r="B358" t="s">
        <v>17</v>
      </c>
      <c r="C358">
        <v>49</v>
      </c>
    </row>
    <row r="359" spans="1:3">
      <c r="A359">
        <v>31</v>
      </c>
      <c r="C359">
        <v>4835</v>
      </c>
    </row>
    <row r="360" spans="1:3">
      <c r="B360" t="s">
        <v>3</v>
      </c>
      <c r="C360">
        <v>49</v>
      </c>
    </row>
    <row r="361" spans="1:3">
      <c r="B361" t="s">
        <v>10</v>
      </c>
      <c r="C361">
        <v>49</v>
      </c>
    </row>
    <row r="362" spans="1:3">
      <c r="B362" t="s">
        <v>5</v>
      </c>
      <c r="C362">
        <v>1499</v>
      </c>
    </row>
    <row r="363" spans="1:3">
      <c r="B363" t="s">
        <v>26</v>
      </c>
      <c r="C363">
        <v>499</v>
      </c>
    </row>
    <row r="364" spans="1:3">
      <c r="B364" t="s">
        <v>7</v>
      </c>
      <c r="C364">
        <v>598</v>
      </c>
    </row>
    <row r="365" spans="1:3">
      <c r="B365" t="s">
        <v>12</v>
      </c>
      <c r="C365">
        <v>299</v>
      </c>
    </row>
    <row r="366" spans="1:3">
      <c r="B366" t="s">
        <v>31</v>
      </c>
      <c r="C366">
        <v>499</v>
      </c>
    </row>
    <row r="367" spans="1:3">
      <c r="B367" t="s">
        <v>13</v>
      </c>
      <c r="C367">
        <v>299</v>
      </c>
    </row>
    <row r="368" spans="1:3">
      <c r="B368" t="s">
        <v>19</v>
      </c>
      <c r="C368">
        <v>499</v>
      </c>
    </row>
    <row r="369" spans="1:3">
      <c r="B369" t="s">
        <v>27</v>
      </c>
      <c r="C369">
        <v>49</v>
      </c>
    </row>
    <row r="370" spans="1:3">
      <c r="B370" t="s">
        <v>28</v>
      </c>
      <c r="C370">
        <v>49</v>
      </c>
    </row>
    <row r="371" spans="1:3">
      <c r="B371" t="s">
        <v>15</v>
      </c>
      <c r="C371">
        <v>99</v>
      </c>
    </row>
    <row r="372" spans="1:3">
      <c r="B372" t="s">
        <v>32</v>
      </c>
      <c r="C372">
        <v>299</v>
      </c>
    </row>
    <row r="373" spans="1:3">
      <c r="B373" t="s">
        <v>21</v>
      </c>
      <c r="C373">
        <v>49</v>
      </c>
    </row>
    <row r="374" spans="1:3">
      <c r="A374">
        <v>32</v>
      </c>
      <c r="B374"/>
      <c r="C374">
        <v>8086</v>
      </c>
    </row>
    <row r="375" spans="1:3">
      <c r="B375" t="s">
        <v>18</v>
      </c>
      <c r="C375">
        <v>149</v>
      </c>
    </row>
    <row r="376" spans="1:3">
      <c r="B376" t="s">
        <v>30</v>
      </c>
      <c r="C376">
        <v>49</v>
      </c>
    </row>
    <row r="377" spans="1:3">
      <c r="B377" t="s">
        <v>4</v>
      </c>
      <c r="C377">
        <v>149</v>
      </c>
    </row>
    <row r="378" spans="1:3">
      <c r="B378" t="s">
        <v>5</v>
      </c>
      <c r="C378">
        <v>499</v>
      </c>
    </row>
    <row r="379" spans="1:3">
      <c r="B379" t="s">
        <v>12</v>
      </c>
      <c r="C379">
        <v>1999</v>
      </c>
    </row>
    <row r="380" spans="1:3">
      <c r="B380" t="s">
        <v>13</v>
      </c>
      <c r="C380">
        <v>148</v>
      </c>
    </row>
    <row r="381" spans="1:3">
      <c r="B381" t="s">
        <v>27</v>
      </c>
      <c r="C381">
        <v>149</v>
      </c>
    </row>
    <row r="382" spans="1:3">
      <c r="B382" t="s">
        <v>28</v>
      </c>
      <c r="C382">
        <v>348</v>
      </c>
    </row>
    <row r="383" spans="1:3">
      <c r="B383" t="s">
        <v>23</v>
      </c>
      <c r="C383">
        <v>49</v>
      </c>
    </row>
    <row r="384" spans="1:3">
      <c r="B384" t="s">
        <v>24</v>
      </c>
      <c r="C384">
        <v>49</v>
      </c>
    </row>
    <row r="385" spans="1:3">
      <c r="B385" t="s">
        <v>29</v>
      </c>
      <c r="C385">
        <v>1499</v>
      </c>
    </row>
    <row r="386" spans="1:3">
      <c r="B386" t="s">
        <v>32</v>
      </c>
      <c r="C386">
        <v>2999</v>
      </c>
    </row>
    <row r="387" spans="1:3">
      <c r="A387">
        <v>33</v>
      </c>
      <c r="B387"/>
      <c r="C387">
        <v>10339</v>
      </c>
    </row>
    <row r="388" spans="1:3">
      <c r="B388" t="s">
        <v>18</v>
      </c>
      <c r="C388">
        <v>149</v>
      </c>
    </row>
    <row r="389" spans="1:3">
      <c r="B389" t="s">
        <v>30</v>
      </c>
      <c r="C389">
        <v>4999</v>
      </c>
    </row>
    <row r="390" spans="1:3">
      <c r="B390" t="s">
        <v>7</v>
      </c>
      <c r="C390">
        <v>299</v>
      </c>
    </row>
    <row r="391" spans="1:3">
      <c r="B391" t="s">
        <v>13</v>
      </c>
      <c r="C391">
        <v>799</v>
      </c>
    </row>
    <row r="392" spans="1:3">
      <c r="B392" t="s">
        <v>20</v>
      </c>
      <c r="C392">
        <v>499</v>
      </c>
    </row>
    <row r="393" spans="1:3">
      <c r="B393" t="s">
        <v>28</v>
      </c>
      <c r="C393">
        <v>3298</v>
      </c>
    </row>
    <row r="394" spans="1:3">
      <c r="B394" t="s">
        <v>15</v>
      </c>
      <c r="C394">
        <v>99</v>
      </c>
    </row>
    <row r="395" spans="1:3">
      <c r="B395" t="s">
        <v>9</v>
      </c>
      <c r="C395">
        <v>49</v>
      </c>
    </row>
    <row r="396" spans="1:3">
      <c r="B396" t="s">
        <v>23</v>
      </c>
      <c r="C396">
        <v>49</v>
      </c>
    </row>
    <row r="397" spans="1:3">
      <c r="B397" t="s">
        <v>24</v>
      </c>
      <c r="C397">
        <v>99</v>
      </c>
    </row>
    <row r="398" spans="1:3">
      <c r="A398">
        <v>34</v>
      </c>
      <c r="B398"/>
      <c r="C398">
        <v>10034</v>
      </c>
    </row>
    <row r="399" spans="1:3">
      <c r="B399" t="s">
        <v>22</v>
      </c>
      <c r="C399">
        <v>548</v>
      </c>
    </row>
    <row r="400" spans="1:3">
      <c r="B400" t="s">
        <v>3</v>
      </c>
      <c r="C400">
        <v>2999</v>
      </c>
    </row>
    <row r="401" spans="1:3">
      <c r="B401" t="s">
        <v>5</v>
      </c>
      <c r="C401">
        <v>299</v>
      </c>
    </row>
    <row r="402" spans="1:3">
      <c r="B402" t="s">
        <v>26</v>
      </c>
      <c r="C402">
        <v>49</v>
      </c>
    </row>
    <row r="403" spans="1:3">
      <c r="B403" t="s">
        <v>7</v>
      </c>
      <c r="C403">
        <v>399</v>
      </c>
    </row>
    <row r="404" spans="1:3">
      <c r="B404" t="s">
        <v>8</v>
      </c>
      <c r="C404">
        <v>299</v>
      </c>
    </row>
    <row r="405" spans="1:3">
      <c r="B405" t="s">
        <v>27</v>
      </c>
      <c r="C405">
        <v>148</v>
      </c>
    </row>
    <row r="406" spans="1:3">
      <c r="B406" t="s">
        <v>14</v>
      </c>
      <c r="C406">
        <v>499</v>
      </c>
    </row>
    <row r="407" spans="1:3">
      <c r="B407" t="s">
        <v>28</v>
      </c>
      <c r="C407">
        <v>799</v>
      </c>
    </row>
    <row r="408" spans="1:3">
      <c r="B408" t="s">
        <v>15</v>
      </c>
      <c r="C408">
        <v>299</v>
      </c>
    </row>
    <row r="409" spans="1:3">
      <c r="B409" t="s">
        <v>9</v>
      </c>
      <c r="C409">
        <v>3148</v>
      </c>
    </row>
    <row r="410" spans="1:3">
      <c r="B410" t="s">
        <v>23</v>
      </c>
      <c r="C410">
        <v>548</v>
      </c>
    </row>
    <row r="411" spans="1:3">
      <c r="A411">
        <v>35</v>
      </c>
      <c r="B411"/>
      <c r="C411">
        <v>9286</v>
      </c>
    </row>
    <row r="412" spans="1:3">
      <c r="B412" t="s">
        <v>25</v>
      </c>
      <c r="C412">
        <v>798</v>
      </c>
    </row>
    <row r="413" spans="1:3">
      <c r="B413" t="s">
        <v>22</v>
      </c>
      <c r="C413">
        <v>1847</v>
      </c>
    </row>
    <row r="414" spans="1:3">
      <c r="B414" t="s">
        <v>6</v>
      </c>
      <c r="C414">
        <v>4999</v>
      </c>
    </row>
    <row r="415" spans="1:3">
      <c r="B415" t="s">
        <v>7</v>
      </c>
      <c r="C415">
        <v>99</v>
      </c>
    </row>
    <row r="416" spans="1:3">
      <c r="B416" t="s">
        <v>12</v>
      </c>
      <c r="C416">
        <v>149</v>
      </c>
    </row>
    <row r="417" spans="1:3">
      <c r="B417" t="s">
        <v>28</v>
      </c>
      <c r="C417">
        <v>299</v>
      </c>
    </row>
    <row r="418" spans="1:3">
      <c r="B418" t="s">
        <v>15</v>
      </c>
      <c r="C418">
        <v>299</v>
      </c>
    </row>
    <row r="419" spans="1:3">
      <c r="B419" t="s">
        <v>23</v>
      </c>
      <c r="C419">
        <v>149</v>
      </c>
    </row>
    <row r="420" spans="1:3">
      <c r="B420" t="s">
        <v>16</v>
      </c>
      <c r="C420">
        <v>499</v>
      </c>
    </row>
    <row r="421" spans="1:3">
      <c r="B421" t="s">
        <v>32</v>
      </c>
      <c r="C421">
        <v>49</v>
      </c>
    </row>
    <row r="422" spans="1:3">
      <c r="B422" t="s">
        <v>17</v>
      </c>
      <c r="C422">
        <v>99</v>
      </c>
    </row>
    <row r="423" spans="1:3">
      <c r="A423">
        <v>36</v>
      </c>
      <c r="B423"/>
      <c r="C423">
        <v>12534</v>
      </c>
    </row>
    <row r="424" spans="1:3">
      <c r="B424" t="s">
        <v>25</v>
      </c>
      <c r="C424">
        <v>149</v>
      </c>
    </row>
    <row r="425" spans="1:3">
      <c r="B425" t="s">
        <v>22</v>
      </c>
      <c r="C425">
        <v>299</v>
      </c>
    </row>
    <row r="426" spans="1:3">
      <c r="B426" t="s">
        <v>18</v>
      </c>
      <c r="C426">
        <v>248</v>
      </c>
    </row>
    <row r="427" spans="1:3">
      <c r="B427" t="s">
        <v>30</v>
      </c>
      <c r="C427">
        <v>149</v>
      </c>
    </row>
    <row r="428" spans="1:3">
      <c r="B428" t="s">
        <v>19</v>
      </c>
      <c r="C428">
        <v>1499</v>
      </c>
    </row>
    <row r="429" spans="1:3">
      <c r="B429" t="s">
        <v>8</v>
      </c>
      <c r="C429">
        <v>1499</v>
      </c>
    </row>
    <row r="430" spans="1:3">
      <c r="B430" t="s">
        <v>14</v>
      </c>
      <c r="C430">
        <v>4999</v>
      </c>
    </row>
    <row r="431" spans="1:3">
      <c r="B431" t="s">
        <v>20</v>
      </c>
      <c r="C431">
        <v>49</v>
      </c>
    </row>
    <row r="432" spans="1:3">
      <c r="B432" t="s">
        <v>23</v>
      </c>
      <c r="C432">
        <v>1647</v>
      </c>
    </row>
    <row r="433" spans="1:3">
      <c r="B433" t="s">
        <v>16</v>
      </c>
      <c r="C433">
        <v>198</v>
      </c>
    </row>
    <row r="434" spans="1:3">
      <c r="B434" t="s">
        <v>32</v>
      </c>
      <c r="C434">
        <v>999</v>
      </c>
    </row>
    <row r="435" spans="1:3">
      <c r="B435" t="s">
        <v>21</v>
      </c>
      <c r="C435">
        <v>799</v>
      </c>
    </row>
    <row r="436" spans="1:3">
      <c r="A436">
        <v>37</v>
      </c>
      <c r="B436"/>
      <c r="C436">
        <v>12931</v>
      </c>
    </row>
    <row r="437" spans="1:3">
      <c r="B437" t="s">
        <v>25</v>
      </c>
      <c r="C437">
        <v>598</v>
      </c>
    </row>
    <row r="438" spans="1:3">
      <c r="B438" t="s">
        <v>22</v>
      </c>
      <c r="C438">
        <v>2999</v>
      </c>
    </row>
    <row r="439" spans="1:3">
      <c r="B439" t="s">
        <v>18</v>
      </c>
      <c r="C439">
        <v>299</v>
      </c>
    </row>
    <row r="440" spans="1:3">
      <c r="B440" t="s">
        <v>30</v>
      </c>
      <c r="C440">
        <v>49</v>
      </c>
    </row>
    <row r="441" spans="1:3">
      <c r="B441" t="s">
        <v>3</v>
      </c>
      <c r="C441">
        <v>1499</v>
      </c>
    </row>
    <row r="442" spans="1:3">
      <c r="B442" t="s">
        <v>4</v>
      </c>
      <c r="C442">
        <v>99</v>
      </c>
    </row>
    <row r="443" spans="1:3">
      <c r="B443" t="s">
        <v>7</v>
      </c>
      <c r="C443">
        <v>149</v>
      </c>
    </row>
    <row r="444" spans="1:3">
      <c r="B444" t="s">
        <v>19</v>
      </c>
      <c r="C444">
        <v>2999</v>
      </c>
    </row>
    <row r="445" spans="1:3">
      <c r="B445" t="s">
        <v>8</v>
      </c>
      <c r="C445">
        <v>49</v>
      </c>
    </row>
    <row r="446" spans="1:3">
      <c r="B446" t="s">
        <v>20</v>
      </c>
      <c r="C446">
        <v>149</v>
      </c>
    </row>
    <row r="447" spans="1:3">
      <c r="B447" t="s">
        <v>28</v>
      </c>
      <c r="C447">
        <v>99</v>
      </c>
    </row>
    <row r="448" spans="1:3">
      <c r="B448" t="s">
        <v>9</v>
      </c>
      <c r="C448">
        <v>1999</v>
      </c>
    </row>
    <row r="449" spans="1:3">
      <c r="B449" t="s">
        <v>29</v>
      </c>
      <c r="C449">
        <v>799</v>
      </c>
    </row>
    <row r="450" spans="1:3">
      <c r="B450" t="s">
        <v>32</v>
      </c>
      <c r="C450">
        <v>697</v>
      </c>
    </row>
    <row r="451" spans="1:3">
      <c r="B451" t="s">
        <v>21</v>
      </c>
      <c r="C451">
        <v>149</v>
      </c>
    </row>
    <row r="452" spans="1:3">
      <c r="B452" t="s">
        <v>17</v>
      </c>
      <c r="C452">
        <v>299</v>
      </c>
    </row>
    <row r="453" spans="1:3">
      <c r="A453">
        <v>38</v>
      </c>
      <c r="B453"/>
      <c r="C453">
        <v>3940</v>
      </c>
    </row>
    <row r="454" spans="1:3">
      <c r="B454" t="s">
        <v>3</v>
      </c>
      <c r="C454">
        <v>1499</v>
      </c>
    </row>
    <row r="455" spans="1:3">
      <c r="B455" t="s">
        <v>4</v>
      </c>
      <c r="C455">
        <v>99</v>
      </c>
    </row>
    <row r="456" spans="1:3">
      <c r="B456" t="s">
        <v>5</v>
      </c>
      <c r="C456">
        <v>348</v>
      </c>
    </row>
    <row r="457" spans="1:3">
      <c r="B457" t="s">
        <v>26</v>
      </c>
      <c r="C457">
        <v>398</v>
      </c>
    </row>
    <row r="458" spans="1:3">
      <c r="B458" t="s">
        <v>13</v>
      </c>
      <c r="C458">
        <v>499</v>
      </c>
    </row>
    <row r="459" spans="1:3">
      <c r="B459" t="s">
        <v>15</v>
      </c>
      <c r="C459">
        <v>299</v>
      </c>
    </row>
    <row r="460" spans="1:3">
      <c r="B460" t="s">
        <v>9</v>
      </c>
      <c r="C460">
        <v>499</v>
      </c>
    </row>
    <row r="461" spans="1:3">
      <c r="B461" t="s">
        <v>32</v>
      </c>
      <c r="C461">
        <v>299</v>
      </c>
    </row>
    <row r="462" spans="1:3">
      <c r="A462">
        <v>39</v>
      </c>
      <c r="B462"/>
      <c r="C462">
        <v>22687</v>
      </c>
    </row>
    <row r="463" spans="1:3">
      <c r="B463" t="s">
        <v>22</v>
      </c>
      <c r="C463">
        <v>499</v>
      </c>
    </row>
    <row r="464" spans="1:3">
      <c r="B464" t="s">
        <v>3</v>
      </c>
      <c r="C464">
        <v>299</v>
      </c>
    </row>
    <row r="465" spans="1:3">
      <c r="B465" t="s">
        <v>5</v>
      </c>
      <c r="C465">
        <v>399</v>
      </c>
    </row>
    <row r="466" spans="1:3">
      <c r="B466" t="s">
        <v>26</v>
      </c>
      <c r="C466">
        <v>49</v>
      </c>
    </row>
    <row r="467" spans="1:3">
      <c r="B467" t="s">
        <v>19</v>
      </c>
      <c r="C467">
        <v>499</v>
      </c>
    </row>
    <row r="468" spans="1:3">
      <c r="B468" t="s">
        <v>8</v>
      </c>
      <c r="C468">
        <v>2999</v>
      </c>
    </row>
    <row r="469" spans="1:3">
      <c r="B469" t="s">
        <v>27</v>
      </c>
      <c r="C469">
        <v>2999</v>
      </c>
    </row>
    <row r="470" spans="1:3">
      <c r="B470" t="s">
        <v>15</v>
      </c>
      <c r="C470">
        <v>9796</v>
      </c>
    </row>
    <row r="471" spans="1:3">
      <c r="B471" t="s">
        <v>9</v>
      </c>
      <c r="C471">
        <v>4999</v>
      </c>
    </row>
    <row r="472" spans="1:3">
      <c r="B472" t="s">
        <v>21</v>
      </c>
      <c r="C472">
        <v>149</v>
      </c>
    </row>
    <row r="473" spans="1:3">
      <c r="A473">
        <v>40</v>
      </c>
      <c r="B473"/>
      <c r="C473">
        <v>8735</v>
      </c>
    </row>
    <row r="474" spans="1:3">
      <c r="B474" t="s">
        <v>25</v>
      </c>
      <c r="C474">
        <v>299</v>
      </c>
    </row>
    <row r="475" spans="1:3">
      <c r="B475" t="s">
        <v>18</v>
      </c>
      <c r="C475">
        <v>49</v>
      </c>
    </row>
    <row r="476" spans="1:3">
      <c r="B476" t="s">
        <v>11</v>
      </c>
      <c r="C476">
        <v>49</v>
      </c>
    </row>
    <row r="477" spans="1:3">
      <c r="B477" t="s">
        <v>6</v>
      </c>
      <c r="C477">
        <v>4999</v>
      </c>
    </row>
    <row r="478" spans="1:3">
      <c r="B478" t="s">
        <v>7</v>
      </c>
      <c r="C478">
        <v>99</v>
      </c>
    </row>
    <row r="479" spans="1:3">
      <c r="B479" t="s">
        <v>12</v>
      </c>
      <c r="C479">
        <v>299</v>
      </c>
    </row>
    <row r="480" spans="1:3">
      <c r="B480" t="s">
        <v>31</v>
      </c>
      <c r="C480">
        <v>99</v>
      </c>
    </row>
    <row r="481" spans="1:3">
      <c r="B481" t="s">
        <v>13</v>
      </c>
      <c r="C481">
        <v>149</v>
      </c>
    </row>
    <row r="482" spans="1:3">
      <c r="B482" t="s">
        <v>27</v>
      </c>
      <c r="C482">
        <v>799</v>
      </c>
    </row>
    <row r="483" spans="1:3">
      <c r="B483" t="s">
        <v>14</v>
      </c>
      <c r="C483">
        <v>648</v>
      </c>
    </row>
    <row r="484" spans="1:3">
      <c r="B484" t="s">
        <v>9</v>
      </c>
      <c r="C484">
        <v>598</v>
      </c>
    </row>
    <row r="485" spans="1:3">
      <c r="B485" t="s">
        <v>21</v>
      </c>
      <c r="C485">
        <v>149</v>
      </c>
    </row>
    <row r="486" spans="1:3">
      <c r="B486" t="s">
        <v>17</v>
      </c>
      <c r="C486">
        <v>499</v>
      </c>
    </row>
    <row r="487" spans="1:3">
      <c r="A487" t="s">
        <v>33</v>
      </c>
    </row>
    <row r="488" spans="1:3">
      <c r="B488" t="s">
        <v>33</v>
      </c>
    </row>
    <row r="489" spans="1:3">
      <c r="A489" t="s">
        <v>34</v>
      </c>
      <c r="B489"/>
      <c r="C489">
        <v>382603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C1000"/>
  <sheetViews>
    <sheetView workbookViewId="0">
      <selection activeCell="A1" sqref="$A1:$XFD1048576"/>
    </sheetView>
  </sheetViews>
  <sheetFormatPr defaultColWidth="12.6272727272727" defaultRowHeight="15.75" customHeight="1"/>
  <cols>
    <col min="7" max="7" width="16.3818181818182" customWidth="1"/>
    <col min="9" max="9" width="14.7545454545455" customWidth="1"/>
  </cols>
  <sheetData>
    <row r="1" customHeight="1" spans="1:29">
      <c r="A1" s="1" t="s">
        <v>35</v>
      </c>
      <c r="B1" s="1" t="s">
        <v>36</v>
      </c>
      <c r="C1" s="1" t="s">
        <v>0</v>
      </c>
      <c r="D1" s="1" t="s">
        <v>37</v>
      </c>
      <c r="E1" s="1" t="s">
        <v>38</v>
      </c>
      <c r="F1" s="1" t="s">
        <v>39</v>
      </c>
      <c r="G1" s="1" t="s">
        <v>1</v>
      </c>
      <c r="H1" s="1" t="s">
        <v>40</v>
      </c>
      <c r="I1" s="1" t="s">
        <v>41</v>
      </c>
      <c r="J1" s="1" t="s">
        <v>42</v>
      </c>
      <c r="K1" s="1" t="s">
        <v>43</v>
      </c>
      <c r="L1" s="2" t="s">
        <v>44</v>
      </c>
      <c r="M1" s="4" t="s">
        <v>45</v>
      </c>
      <c r="N1" s="1" t="s">
        <v>46</v>
      </c>
      <c r="O1" s="3" t="s">
        <v>47</v>
      </c>
      <c r="P1" s="3" t="s">
        <v>47</v>
      </c>
      <c r="Q1" s="3" t="s">
        <v>47</v>
      </c>
      <c r="R1" s="3" t="s">
        <v>47</v>
      </c>
      <c r="S1" s="3" t="s">
        <v>47</v>
      </c>
      <c r="T1" s="3" t="s">
        <v>47</v>
      </c>
      <c r="U1" s="3" t="s">
        <v>47</v>
      </c>
      <c r="V1" s="3" t="s">
        <v>47</v>
      </c>
      <c r="W1" s="3" t="s">
        <v>47</v>
      </c>
      <c r="X1" s="3" t="s">
        <v>47</v>
      </c>
      <c r="Y1" s="3" t="s">
        <v>47</v>
      </c>
      <c r="Z1" s="3" t="s">
        <v>47</v>
      </c>
      <c r="AA1" s="3" t="s">
        <v>47</v>
      </c>
      <c r="AB1" s="3" t="s">
        <v>47</v>
      </c>
      <c r="AC1" s="3" t="s">
        <v>47</v>
      </c>
    </row>
    <row r="2" customHeight="1" spans="1:29">
      <c r="A2" s="1" t="s">
        <v>48</v>
      </c>
      <c r="B2" s="1">
        <v>350</v>
      </c>
      <c r="C2" s="1">
        <v>16</v>
      </c>
      <c r="D2" s="3" t="str">
        <f>IFERROR(VLOOKUP($C2,merchants!$A$1:$D$41,2,FALSE),"Merchant not found")</f>
        <v>Merchant_016</v>
      </c>
      <c r="E2" s="3" t="str">
        <f>IFERROR(VLOOKUP($C2,merchants!$A$1:$D$41,3,FALSE),"Merchant not found")</f>
        <v>bill_payment</v>
      </c>
      <c r="F2" s="3" t="str">
        <f>IFERROR(VLOOKUP($C2,merchants!$A$1:$D$41,4,FALSE),"Merchant not found")</f>
        <v>West</v>
      </c>
      <c r="G2" s="5">
        <v>46051.4673611111</v>
      </c>
      <c r="H2" s="1">
        <v>2999</v>
      </c>
      <c r="I2" s="1" t="s">
        <v>49</v>
      </c>
      <c r="J2" s="1" t="s">
        <v>50</v>
      </c>
      <c r="K2" s="1">
        <v>85</v>
      </c>
      <c r="L2" s="6">
        <f>IFERROR(HLOOKUP($I2,Reference!$B$1:$E$2,2,FALSE),0)</f>
        <v>0.015</v>
      </c>
      <c r="M2" s="7">
        <f t="shared" ref="M2:M548" si="0">INT($G2)</f>
        <v>46051</v>
      </c>
      <c r="N2" s="3" t="str">
        <f t="shared" ref="N2:N548" si="1">IF(AND(SUMIFS(H:H,C:C,$C2,M:M,$M2)&gt;5000,$F2&lt;&gt;"East"),"High-Value Merchant Day","Regular")</f>
        <v>Regular</v>
      </c>
    </row>
    <row r="3" customHeight="1" spans="1:29">
      <c r="A3" s="1" t="s">
        <v>51</v>
      </c>
      <c r="B3" s="1">
        <v>287</v>
      </c>
      <c r="C3" s="1">
        <v>27</v>
      </c>
      <c r="D3" s="3" t="str">
        <f>IFERROR(VLOOKUP($C3,merchants!$A$1:$D$41,2,FALSE),"Merchant not found")</f>
        <v>Merchant_027</v>
      </c>
      <c r="E3" s="3" t="str">
        <f>IFERROR(VLOOKUP($C3,merchants!$A$1:$D$41,3,FALSE),"Merchant not found")</f>
        <v>ecommerce</v>
      </c>
      <c r="F3" s="3" t="str">
        <f>IFERROR(VLOOKUP($C3,merchants!$A$1:$D$41,4,FALSE),"Merchant not found")</f>
        <v>North</v>
      </c>
      <c r="G3" s="5">
        <v>46026.4923611111</v>
      </c>
      <c r="H3" s="1">
        <v>49</v>
      </c>
      <c r="I3" s="1" t="s">
        <v>52</v>
      </c>
      <c r="J3" s="1" t="s">
        <v>50</v>
      </c>
      <c r="K3" s="1">
        <v>79</v>
      </c>
      <c r="L3" s="6">
        <f>IFERROR(HLOOKUP($I3,Reference!$B$1:$E$2,2,FALSE),0)</f>
        <v>0</v>
      </c>
      <c r="M3" s="7">
        <f t="shared" si="0"/>
        <v>46026</v>
      </c>
      <c r="N3" s="3" t="str">
        <f t="shared" si="1"/>
        <v>Regular</v>
      </c>
    </row>
    <row r="4" customHeight="1" spans="1:29">
      <c r="A4" s="1" t="s">
        <v>53</v>
      </c>
      <c r="B4" s="1">
        <v>122</v>
      </c>
      <c r="C4" s="1">
        <v>11</v>
      </c>
      <c r="D4" s="3" t="str">
        <f>IFERROR(VLOOKUP($C4,merchants!$A$1:$D$41,2,FALSE),"Merchant not found")</f>
        <v>Merchant_011</v>
      </c>
      <c r="E4" s="3" t="str">
        <f>IFERROR(VLOOKUP($C4,merchants!$A$1:$D$41,3,FALSE),"Merchant not found")</f>
        <v>ecommerce</v>
      </c>
      <c r="F4" s="3" t="str">
        <f>IFERROR(VLOOKUP($C4,merchants!$A$1:$D$41,4,FALSE),"Merchant not found")</f>
        <v>North</v>
      </c>
      <c r="G4" s="5">
        <v>46046.2076388889</v>
      </c>
      <c r="H4" s="1">
        <v>1499</v>
      </c>
      <c r="I4" s="1" t="s">
        <v>49</v>
      </c>
      <c r="J4" s="1" t="s">
        <v>50</v>
      </c>
      <c r="K4" s="1">
        <v>22</v>
      </c>
      <c r="L4" s="6">
        <f>IFERROR(HLOOKUP($I4,Reference!$B$1:$E$2,2,FALSE),0)</f>
        <v>0.015</v>
      </c>
      <c r="M4" s="7">
        <f t="shared" si="0"/>
        <v>46046</v>
      </c>
      <c r="N4" s="3" t="str">
        <f t="shared" si="1"/>
        <v>Regular</v>
      </c>
    </row>
    <row r="5" customHeight="1" spans="1:29">
      <c r="A5" s="1" t="s">
        <v>54</v>
      </c>
      <c r="B5" s="1">
        <v>92</v>
      </c>
      <c r="C5" s="1">
        <v>22</v>
      </c>
      <c r="D5" s="3" t="str">
        <f>IFERROR(VLOOKUP($C5,merchants!$A$1:$D$41,2,FALSE),"Merchant not found")</f>
        <v>Merchant_022</v>
      </c>
      <c r="E5" s="3" t="str">
        <f>IFERROR(VLOOKUP($C5,merchants!$A$1:$D$41,3,FALSE),"Merchant not found")</f>
        <v>travel</v>
      </c>
      <c r="F5" s="3" t="str">
        <f>IFERROR(VLOOKUP($C5,merchants!$A$1:$D$41,4,FALSE),"Merchant not found")</f>
        <v>South</v>
      </c>
      <c r="G5" s="5">
        <v>46051.5423611111</v>
      </c>
      <c r="H5" s="1">
        <v>49</v>
      </c>
      <c r="I5" s="1" t="s">
        <v>55</v>
      </c>
      <c r="J5" s="1" t="s">
        <v>50</v>
      </c>
      <c r="K5" s="1">
        <v>100</v>
      </c>
      <c r="L5" s="6">
        <f>IFERROR(HLOOKUP($I5,Reference!$B$1:$E$2,2,FALSE),0)</f>
        <v>0.01</v>
      </c>
      <c r="M5" s="7">
        <f t="shared" si="0"/>
        <v>46051</v>
      </c>
      <c r="N5" s="3" t="str">
        <f t="shared" si="1"/>
        <v>Regular</v>
      </c>
    </row>
    <row r="6" customHeight="1" spans="1:29">
      <c r="A6" s="1" t="s">
        <v>56</v>
      </c>
      <c r="B6" s="1">
        <v>343</v>
      </c>
      <c r="C6" s="1">
        <v>16</v>
      </c>
      <c r="D6" s="3" t="str">
        <f>IFERROR(VLOOKUP($C6,merchants!$A$1:$D$41,2,FALSE),"Merchant not found")</f>
        <v>Merchant_016</v>
      </c>
      <c r="E6" s="3" t="str">
        <f>IFERROR(VLOOKUP($C6,merchants!$A$1:$D$41,3,FALSE),"Merchant not found")</f>
        <v>bill_payment</v>
      </c>
      <c r="F6" s="3" t="str">
        <f>IFERROR(VLOOKUP($C6,merchants!$A$1:$D$41,4,FALSE),"Merchant not found")</f>
        <v>West</v>
      </c>
      <c r="G6" s="5">
        <v>46052.5770833333</v>
      </c>
      <c r="H6" s="1">
        <v>99</v>
      </c>
      <c r="I6" s="1" t="s">
        <v>52</v>
      </c>
      <c r="J6" s="1" t="s">
        <v>50</v>
      </c>
      <c r="K6" s="1">
        <v>34</v>
      </c>
      <c r="L6" s="6">
        <f>IFERROR(HLOOKUP($I6,Reference!$B$1:$E$2,2,FALSE),0)</f>
        <v>0</v>
      </c>
      <c r="M6" s="7">
        <f t="shared" si="0"/>
        <v>46052</v>
      </c>
      <c r="N6" s="3" t="str">
        <f t="shared" si="1"/>
        <v>Regular</v>
      </c>
    </row>
    <row r="7" customHeight="1" spans="1:29">
      <c r="A7" s="1" t="s">
        <v>57</v>
      </c>
      <c r="B7" s="1">
        <v>196</v>
      </c>
      <c r="C7" s="1">
        <v>3</v>
      </c>
      <c r="D7" s="3" t="str">
        <f>IFERROR(VLOOKUP($C7,merchants!$A$1:$D$41,2,FALSE),"Merchant not found")</f>
        <v>Merchant_003</v>
      </c>
      <c r="E7" s="3" t="str">
        <f>IFERROR(VLOOKUP($C7,merchants!$A$1:$D$41,3,FALSE),"Merchant not found")</f>
        <v>grocery</v>
      </c>
      <c r="F7" s="3" t="str">
        <f>IFERROR(VLOOKUP($C7,merchants!$A$1:$D$41,4,FALSE),"Merchant not found")</f>
        <v>East</v>
      </c>
      <c r="G7" s="5">
        <v>46028.9208333333</v>
      </c>
      <c r="H7" s="1">
        <v>99</v>
      </c>
      <c r="I7" s="1" t="s">
        <v>52</v>
      </c>
      <c r="J7" s="1" t="s">
        <v>50</v>
      </c>
      <c r="K7" s="1">
        <v>60</v>
      </c>
      <c r="L7" s="6">
        <f>IFERROR(HLOOKUP($I7,Reference!$B$1:$E$2,2,FALSE),0)</f>
        <v>0</v>
      </c>
      <c r="M7" s="7">
        <f t="shared" si="0"/>
        <v>46028</v>
      </c>
      <c r="N7" s="3" t="str">
        <f t="shared" si="1"/>
        <v>Regular</v>
      </c>
    </row>
    <row r="8" customHeight="1" spans="1:29">
      <c r="A8" s="1" t="s">
        <v>58</v>
      </c>
      <c r="B8" s="1">
        <v>236</v>
      </c>
      <c r="C8" s="1">
        <v>23</v>
      </c>
      <c r="D8" s="3" t="str">
        <f>IFERROR(VLOOKUP($C8,merchants!$A$1:$D$41,2,FALSE),"Merchant not found")</f>
        <v>Merchant_023</v>
      </c>
      <c r="E8" s="3" t="str">
        <f>IFERROR(VLOOKUP($C8,merchants!$A$1:$D$41,3,FALSE),"Merchant not found")</f>
        <v>travel</v>
      </c>
      <c r="F8" s="3" t="str">
        <f>IFERROR(VLOOKUP($C8,merchants!$A$1:$D$41,4,FALSE),"Merchant not found")</f>
        <v>North</v>
      </c>
      <c r="G8" s="5">
        <v>46030.2861111111</v>
      </c>
      <c r="H8" s="1">
        <v>99</v>
      </c>
      <c r="I8" s="1" t="s">
        <v>49</v>
      </c>
      <c r="J8" s="1" t="s">
        <v>50</v>
      </c>
      <c r="K8" s="1">
        <v>39</v>
      </c>
      <c r="L8" s="6">
        <f>IFERROR(HLOOKUP($I8,Reference!$B$1:$E$2,2,FALSE),0)</f>
        <v>0.015</v>
      </c>
      <c r="M8" s="7">
        <f t="shared" si="0"/>
        <v>46030</v>
      </c>
      <c r="N8" s="3" t="str">
        <f t="shared" si="1"/>
        <v>Regular</v>
      </c>
    </row>
    <row r="9" customHeight="1" spans="1:29">
      <c r="A9" s="1" t="s">
        <v>59</v>
      </c>
      <c r="B9" s="1">
        <v>13</v>
      </c>
      <c r="C9" s="1">
        <v>13</v>
      </c>
      <c r="D9" s="3" t="str">
        <f>IFERROR(VLOOKUP($C9,merchants!$A$1:$D$41,2,FALSE),"Merchant not found")</f>
        <v>Merchant_013</v>
      </c>
      <c r="E9" s="3" t="str">
        <f>IFERROR(VLOOKUP($C9,merchants!$A$1:$D$41,3,FALSE),"Merchant not found")</f>
        <v>travel</v>
      </c>
      <c r="F9" s="3" t="str">
        <f>IFERROR(VLOOKUP($C9,merchants!$A$1:$D$41,4,FALSE),"Merchant not found")</f>
        <v>East</v>
      </c>
      <c r="G9" s="5">
        <v>46049.3013888889</v>
      </c>
      <c r="H9" s="1">
        <v>99</v>
      </c>
      <c r="I9" s="1" t="s">
        <v>52</v>
      </c>
      <c r="J9" s="1" t="s">
        <v>50</v>
      </c>
      <c r="K9" s="1">
        <v>51</v>
      </c>
      <c r="L9" s="6">
        <f>IFERROR(HLOOKUP($I9,Reference!$B$1:$E$2,2,FALSE),0)</f>
        <v>0</v>
      </c>
      <c r="M9" s="7">
        <f t="shared" si="0"/>
        <v>46049</v>
      </c>
      <c r="N9" s="3" t="str">
        <f t="shared" si="1"/>
        <v>Regular</v>
      </c>
    </row>
    <row r="10" customHeight="1" spans="1:29">
      <c r="A10" s="1" t="s">
        <v>60</v>
      </c>
      <c r="B10" s="1">
        <v>36</v>
      </c>
      <c r="C10" s="1">
        <v>18</v>
      </c>
      <c r="D10" s="3" t="str">
        <f>IFERROR(VLOOKUP($C10,merchants!$A$1:$D$41,2,FALSE),"Merchant not found")</f>
        <v>Merchant_018</v>
      </c>
      <c r="E10" s="3" t="str">
        <f>IFERROR(VLOOKUP($C10,merchants!$A$1:$D$41,3,FALSE),"Merchant not found")</f>
        <v>grocery</v>
      </c>
      <c r="F10" s="3" t="str">
        <f>IFERROR(VLOOKUP($C10,merchants!$A$1:$D$41,4,FALSE),"Merchant not found")</f>
        <v>West</v>
      </c>
      <c r="G10" s="5">
        <v>46033.3715277778</v>
      </c>
      <c r="H10" s="1">
        <v>799</v>
      </c>
      <c r="I10" s="1" t="s">
        <v>52</v>
      </c>
      <c r="J10" s="1" t="s">
        <v>50</v>
      </c>
      <c r="K10" s="1">
        <v>44</v>
      </c>
      <c r="L10" s="6">
        <f>IFERROR(HLOOKUP($I10,Reference!$B$1:$E$2,2,FALSE),0)</f>
        <v>0</v>
      </c>
      <c r="M10" s="7">
        <f t="shared" si="0"/>
        <v>46033</v>
      </c>
      <c r="N10" s="3" t="str">
        <f t="shared" si="1"/>
        <v>Regular</v>
      </c>
    </row>
    <row r="11" customHeight="1" spans="1:29">
      <c r="A11" s="1" t="s">
        <v>61</v>
      </c>
      <c r="B11" s="1">
        <v>348</v>
      </c>
      <c r="C11" s="1">
        <v>35</v>
      </c>
      <c r="D11" s="3" t="str">
        <f>IFERROR(VLOOKUP($C11,merchants!$A$1:$D$41,2,FALSE),"Merchant not found")</f>
        <v>Merchant_035</v>
      </c>
      <c r="E11" s="3" t="str">
        <f>IFERROR(VLOOKUP($C11,merchants!$A$1:$D$41,3,FALSE),"Merchant not found")</f>
        <v>recharge</v>
      </c>
      <c r="F11" s="3" t="str">
        <f>IFERROR(VLOOKUP($C11,merchants!$A$1:$D$41,4,FALSE),"Merchant not found")</f>
        <v>East</v>
      </c>
      <c r="G11" s="5">
        <v>46043.6840277778</v>
      </c>
      <c r="H11" s="1">
        <v>299</v>
      </c>
      <c r="I11" s="1" t="s">
        <v>52</v>
      </c>
      <c r="J11" s="1" t="s">
        <v>50</v>
      </c>
      <c r="K11" s="1">
        <v>42</v>
      </c>
      <c r="L11" s="6">
        <f>IFERROR(HLOOKUP($I11,Reference!$B$1:$E$2,2,FALSE),0)</f>
        <v>0</v>
      </c>
      <c r="M11" s="7">
        <f t="shared" si="0"/>
        <v>46043</v>
      </c>
      <c r="N11" s="3" t="str">
        <f t="shared" si="1"/>
        <v>Regular</v>
      </c>
    </row>
    <row r="12" customHeight="1" spans="1:29">
      <c r="A12" s="1" t="s">
        <v>62</v>
      </c>
      <c r="B12" s="1">
        <v>134</v>
      </c>
      <c r="C12" s="1">
        <v>12</v>
      </c>
      <c r="D12" s="3" t="str">
        <f>IFERROR(VLOOKUP($C12,merchants!$A$1:$D$41,2,FALSE),"Merchant not found")</f>
        <v>Merchant_012</v>
      </c>
      <c r="E12" s="3" t="str">
        <f>IFERROR(VLOOKUP($C12,merchants!$A$1:$D$41,3,FALSE),"Merchant not found")</f>
        <v>ecommerce</v>
      </c>
      <c r="F12" s="3" t="str">
        <f>IFERROR(VLOOKUP($C12,merchants!$A$1:$D$41,4,FALSE),"Merchant not found")</f>
        <v>East</v>
      </c>
      <c r="G12" s="5">
        <v>46023.1638888889</v>
      </c>
      <c r="H12" s="1">
        <v>49</v>
      </c>
      <c r="I12" s="1" t="s">
        <v>52</v>
      </c>
      <c r="J12" s="1" t="s">
        <v>50</v>
      </c>
      <c r="K12" s="1">
        <v>74</v>
      </c>
      <c r="L12" s="6">
        <f>IFERROR(HLOOKUP($I12,Reference!$B$1:$E$2,2,FALSE),0)</f>
        <v>0</v>
      </c>
      <c r="M12" s="7">
        <f t="shared" si="0"/>
        <v>46023</v>
      </c>
      <c r="N12" s="3" t="str">
        <f t="shared" si="1"/>
        <v>Regular</v>
      </c>
    </row>
    <row r="13" customHeight="1" spans="1:29">
      <c r="A13" s="1" t="s">
        <v>63</v>
      </c>
      <c r="B13" s="1">
        <v>306</v>
      </c>
      <c r="C13" s="1">
        <v>28</v>
      </c>
      <c r="D13" s="3" t="str">
        <f>IFERROR(VLOOKUP($C13,merchants!$A$1:$D$41,2,FALSE),"Merchant not found")</f>
        <v>Merchant_028</v>
      </c>
      <c r="E13" s="3" t="str">
        <f>IFERROR(VLOOKUP($C13,merchants!$A$1:$D$41,3,FALSE),"Merchant not found")</f>
        <v>ecommerce</v>
      </c>
      <c r="F13" s="3" t="str">
        <f>IFERROR(VLOOKUP($C13,merchants!$A$1:$D$41,4,FALSE),"Merchant not found")</f>
        <v>South</v>
      </c>
      <c r="G13" s="5">
        <v>46031.0458333333</v>
      </c>
      <c r="H13" s="1">
        <v>2999</v>
      </c>
      <c r="I13" s="1" t="s">
        <v>64</v>
      </c>
      <c r="J13" s="1" t="s">
        <v>65</v>
      </c>
      <c r="K13" s="1">
        <v>44</v>
      </c>
      <c r="L13" s="6">
        <f>IFERROR(HLOOKUP($I13,Reference!$B$1:$E$2,2,FALSE),0)</f>
        <v>0.02</v>
      </c>
      <c r="M13" s="7">
        <f t="shared" si="0"/>
        <v>46031</v>
      </c>
      <c r="N13" s="3" t="str">
        <f t="shared" si="1"/>
        <v>Regular</v>
      </c>
    </row>
    <row r="14" customHeight="1" spans="1:29">
      <c r="A14" s="1" t="s">
        <v>66</v>
      </c>
      <c r="B14" s="1">
        <v>311</v>
      </c>
      <c r="C14" s="1">
        <v>33</v>
      </c>
      <c r="D14" s="3" t="str">
        <f>IFERROR(VLOOKUP($C14,merchants!$A$1:$D$41,2,FALSE),"Merchant not found")</f>
        <v>Merchant_033</v>
      </c>
      <c r="E14" s="3" t="str">
        <f>IFERROR(VLOOKUP($C14,merchants!$A$1:$D$41,3,FALSE),"Merchant not found")</f>
        <v>bill_payment</v>
      </c>
      <c r="F14" s="3" t="str">
        <f>IFERROR(VLOOKUP($C14,merchants!$A$1:$D$41,4,FALSE),"Merchant not found")</f>
        <v>East</v>
      </c>
      <c r="G14" s="5">
        <v>46046.4354166667</v>
      </c>
      <c r="H14" s="1">
        <v>49</v>
      </c>
      <c r="I14" s="1" t="s">
        <v>49</v>
      </c>
      <c r="J14" s="1" t="s">
        <v>50</v>
      </c>
      <c r="K14" s="1">
        <v>14</v>
      </c>
      <c r="L14" s="6">
        <f>IFERROR(HLOOKUP($I14,Reference!$B$1:$E$2,2,FALSE),0)</f>
        <v>0.015</v>
      </c>
      <c r="M14" s="7">
        <f t="shared" si="0"/>
        <v>46046</v>
      </c>
      <c r="N14" s="3" t="str">
        <f t="shared" si="1"/>
        <v>Regular</v>
      </c>
    </row>
    <row r="15" customHeight="1" spans="1:29">
      <c r="A15" s="1" t="s">
        <v>67</v>
      </c>
      <c r="B15" s="1">
        <v>131</v>
      </c>
      <c r="C15" s="1">
        <v>3</v>
      </c>
      <c r="D15" s="3" t="str">
        <f>IFERROR(VLOOKUP($C15,merchants!$A$1:$D$41,2,FALSE),"Merchant not found")</f>
        <v>Merchant_003</v>
      </c>
      <c r="E15" s="3" t="str">
        <f>IFERROR(VLOOKUP($C15,merchants!$A$1:$D$41,3,FALSE),"Merchant not found")</f>
        <v>grocery</v>
      </c>
      <c r="F15" s="3" t="str">
        <f>IFERROR(VLOOKUP($C15,merchants!$A$1:$D$41,4,FALSE),"Merchant not found")</f>
        <v>East</v>
      </c>
      <c r="G15" s="5">
        <v>46035.7583333333</v>
      </c>
      <c r="H15" s="1">
        <v>49</v>
      </c>
      <c r="I15" s="1" t="s">
        <v>52</v>
      </c>
      <c r="J15" s="1" t="s">
        <v>50</v>
      </c>
      <c r="K15" s="1">
        <v>90</v>
      </c>
      <c r="L15" s="6">
        <f>IFERROR(HLOOKUP($I15,Reference!$B$1:$E$2,2,FALSE),0)</f>
        <v>0</v>
      </c>
      <c r="M15" s="7">
        <f t="shared" si="0"/>
        <v>46035</v>
      </c>
      <c r="N15" s="3" t="str">
        <f t="shared" si="1"/>
        <v>Regular</v>
      </c>
    </row>
    <row r="16" customHeight="1" spans="1:29">
      <c r="A16" s="1" t="s">
        <v>68</v>
      </c>
      <c r="B16" s="1">
        <v>276</v>
      </c>
      <c r="C16" s="1">
        <v>13</v>
      </c>
      <c r="D16" s="3" t="str">
        <f>IFERROR(VLOOKUP($C16,merchants!$A$1:$D$41,2,FALSE),"Merchant not found")</f>
        <v>Merchant_013</v>
      </c>
      <c r="E16" s="3" t="str">
        <f>IFERROR(VLOOKUP($C16,merchants!$A$1:$D$41,3,FALSE),"Merchant not found")</f>
        <v>travel</v>
      </c>
      <c r="F16" s="3" t="str">
        <f>IFERROR(VLOOKUP($C16,merchants!$A$1:$D$41,4,FALSE),"Merchant not found")</f>
        <v>East</v>
      </c>
      <c r="G16" s="5">
        <v>46036.0229166667</v>
      </c>
      <c r="H16" s="1">
        <v>1499</v>
      </c>
      <c r="I16" s="1" t="s">
        <v>52</v>
      </c>
      <c r="J16" s="1" t="s">
        <v>50</v>
      </c>
      <c r="K16" s="1">
        <v>46</v>
      </c>
      <c r="L16" s="6">
        <f>IFERROR(HLOOKUP($I16,Reference!$B$1:$E$2,2,FALSE),0)</f>
        <v>0</v>
      </c>
      <c r="M16" s="7">
        <f t="shared" si="0"/>
        <v>46036</v>
      </c>
      <c r="N16" s="3" t="str">
        <f t="shared" si="1"/>
        <v>Regular</v>
      </c>
    </row>
    <row r="17" customHeight="1" spans="1:14">
      <c r="A17" s="1" t="s">
        <v>69</v>
      </c>
      <c r="B17" s="1">
        <v>170</v>
      </c>
      <c r="C17" s="1">
        <v>40</v>
      </c>
      <c r="D17" s="3" t="str">
        <f>IFERROR(VLOOKUP($C17,merchants!$A$1:$D$41,2,FALSE),"Merchant not found")</f>
        <v>Merchant_040</v>
      </c>
      <c r="E17" s="3" t="str">
        <f>IFERROR(VLOOKUP($C17,merchants!$A$1:$D$41,3,FALSE),"Merchant not found")</f>
        <v>entertainment</v>
      </c>
      <c r="F17" s="3" t="str">
        <f>IFERROR(VLOOKUP($C17,merchants!$A$1:$D$41,4,FALSE),"Merchant not found")</f>
        <v>South</v>
      </c>
      <c r="G17" s="5">
        <v>46036.1125</v>
      </c>
      <c r="H17" s="1">
        <v>99</v>
      </c>
      <c r="I17" s="1" t="s">
        <v>52</v>
      </c>
      <c r="J17" s="1" t="s">
        <v>50</v>
      </c>
      <c r="K17" s="1">
        <v>40</v>
      </c>
      <c r="L17" s="6">
        <f>IFERROR(HLOOKUP($I17,Reference!$B$1:$E$2,2,FALSE),0)</f>
        <v>0</v>
      </c>
      <c r="M17" s="7">
        <f t="shared" si="0"/>
        <v>46036</v>
      </c>
      <c r="N17" s="3" t="str">
        <f t="shared" si="1"/>
        <v>Regular</v>
      </c>
    </row>
    <row r="18" customHeight="1" spans="1:14">
      <c r="A18" s="1" t="s">
        <v>70</v>
      </c>
      <c r="B18" s="1">
        <v>154</v>
      </c>
      <c r="C18" s="1">
        <v>33</v>
      </c>
      <c r="D18" s="3" t="str">
        <f>IFERROR(VLOOKUP($C18,merchants!$A$1:$D$41,2,FALSE),"Merchant not found")</f>
        <v>Merchant_033</v>
      </c>
      <c r="E18" s="3" t="str">
        <f>IFERROR(VLOOKUP($C18,merchants!$A$1:$D$41,3,FALSE),"Merchant not found")</f>
        <v>bill_payment</v>
      </c>
      <c r="F18" s="3" t="str">
        <f>IFERROR(VLOOKUP($C18,merchants!$A$1:$D$41,4,FALSE),"Merchant not found")</f>
        <v>East</v>
      </c>
      <c r="G18" s="5">
        <v>46044.1569444444</v>
      </c>
      <c r="H18" s="1">
        <v>99</v>
      </c>
      <c r="I18" s="1" t="s">
        <v>55</v>
      </c>
      <c r="J18" s="1" t="s">
        <v>50</v>
      </c>
      <c r="K18" s="1">
        <v>39</v>
      </c>
      <c r="L18" s="6">
        <f>IFERROR(HLOOKUP($I18,Reference!$B$1:$E$2,2,FALSE),0)</f>
        <v>0.01</v>
      </c>
      <c r="M18" s="7">
        <f t="shared" si="0"/>
        <v>46044</v>
      </c>
      <c r="N18" s="3" t="str">
        <f t="shared" si="1"/>
        <v>Regular</v>
      </c>
    </row>
    <row r="19" customHeight="1" spans="1:14">
      <c r="A19" s="1" t="s">
        <v>71</v>
      </c>
      <c r="B19" s="1">
        <v>207</v>
      </c>
      <c r="C19" s="1">
        <v>19</v>
      </c>
      <c r="D19" s="3" t="str">
        <f>IFERROR(VLOOKUP($C19,merchants!$A$1:$D$41,2,FALSE),"Merchant not found")</f>
        <v>Merchant_019</v>
      </c>
      <c r="E19" s="3" t="str">
        <f>IFERROR(VLOOKUP($C19,merchants!$A$1:$D$41,3,FALSE),"Merchant not found")</f>
        <v>grocery</v>
      </c>
      <c r="F19" s="3" t="str">
        <f>IFERROR(VLOOKUP($C19,merchants!$A$1:$D$41,4,FALSE),"Merchant not found")</f>
        <v>North</v>
      </c>
      <c r="G19" s="5">
        <v>46044.5555555556</v>
      </c>
      <c r="H19" s="1">
        <v>2999</v>
      </c>
      <c r="I19" s="1" t="s">
        <v>64</v>
      </c>
      <c r="J19" s="1" t="s">
        <v>50</v>
      </c>
      <c r="K19" s="1">
        <v>70</v>
      </c>
      <c r="L19" s="6">
        <f>IFERROR(HLOOKUP($I19,Reference!$B$1:$E$2,2,FALSE),0)</f>
        <v>0.02</v>
      </c>
      <c r="M19" s="7">
        <f t="shared" si="0"/>
        <v>46044</v>
      </c>
      <c r="N19" s="3" t="str">
        <f t="shared" si="1"/>
        <v>Regular</v>
      </c>
    </row>
    <row r="20" customHeight="1" spans="1:14">
      <c r="A20" s="1" t="s">
        <v>72</v>
      </c>
      <c r="B20" s="1">
        <v>341</v>
      </c>
      <c r="C20" s="1">
        <v>25</v>
      </c>
      <c r="D20" s="3" t="str">
        <f>IFERROR(VLOOKUP($C20,merchants!$A$1:$D$41,2,FALSE),"Merchant not found")</f>
        <v>Merchant_025</v>
      </c>
      <c r="E20" s="3" t="str">
        <f>IFERROR(VLOOKUP($C20,merchants!$A$1:$D$41,3,FALSE),"Merchant not found")</f>
        <v>travel</v>
      </c>
      <c r="F20" s="3" t="str">
        <f>IFERROR(VLOOKUP($C20,merchants!$A$1:$D$41,4,FALSE),"Merchant not found")</f>
        <v>South</v>
      </c>
      <c r="G20" s="5">
        <v>46027.2680555556</v>
      </c>
      <c r="H20" s="1">
        <v>2999</v>
      </c>
      <c r="I20" s="1" t="s">
        <v>52</v>
      </c>
      <c r="J20" s="1" t="s">
        <v>50</v>
      </c>
      <c r="K20" s="1">
        <v>86</v>
      </c>
      <c r="L20" s="6">
        <f>IFERROR(HLOOKUP($I20,Reference!$B$1:$E$2,2,FALSE),0)</f>
        <v>0</v>
      </c>
      <c r="M20" s="7">
        <f t="shared" si="0"/>
        <v>46027</v>
      </c>
      <c r="N20" s="3" t="str">
        <f t="shared" si="1"/>
        <v>Regular</v>
      </c>
    </row>
    <row r="21" customHeight="1" spans="1:14">
      <c r="A21" s="1" t="s">
        <v>73</v>
      </c>
      <c r="B21" s="1">
        <v>292</v>
      </c>
      <c r="C21" s="1">
        <v>20</v>
      </c>
      <c r="D21" s="3" t="str">
        <f>IFERROR(VLOOKUP($C21,merchants!$A$1:$D$41,2,FALSE),"Merchant not found")</f>
        <v>Merchant_020</v>
      </c>
      <c r="E21" s="3" t="str">
        <f>IFERROR(VLOOKUP($C21,merchants!$A$1:$D$41,3,FALSE),"Merchant not found")</f>
        <v>food_delivery</v>
      </c>
      <c r="F21" s="3" t="str">
        <f>IFERROR(VLOOKUP($C21,merchants!$A$1:$D$41,4,FALSE),"Merchant not found")</f>
        <v>East</v>
      </c>
      <c r="G21" s="5">
        <v>46046.2354166667</v>
      </c>
      <c r="H21" s="1">
        <v>49</v>
      </c>
      <c r="I21" s="1" t="s">
        <v>52</v>
      </c>
      <c r="J21" s="1" t="s">
        <v>50</v>
      </c>
      <c r="K21" s="1">
        <v>51</v>
      </c>
      <c r="L21" s="6">
        <f>IFERROR(HLOOKUP($I21,Reference!$B$1:$E$2,2,FALSE),0)</f>
        <v>0</v>
      </c>
      <c r="M21" s="7">
        <f t="shared" si="0"/>
        <v>46046</v>
      </c>
      <c r="N21" s="3" t="str">
        <f t="shared" si="1"/>
        <v>Regular</v>
      </c>
    </row>
    <row r="22" customHeight="1" spans="1:14">
      <c r="A22" s="1" t="s">
        <v>74</v>
      </c>
      <c r="B22" s="1">
        <v>147</v>
      </c>
      <c r="C22" s="1">
        <v>14</v>
      </c>
      <c r="D22" s="3" t="str">
        <f>IFERROR(VLOOKUP($C22,merchants!$A$1:$D$41,2,FALSE),"Merchant not found")</f>
        <v>Merchant_014</v>
      </c>
      <c r="E22" s="3" t="str">
        <f>IFERROR(VLOOKUP($C22,merchants!$A$1:$D$41,3,FALSE),"Merchant not found")</f>
        <v>grocery</v>
      </c>
      <c r="F22" s="3" t="str">
        <f>IFERROR(VLOOKUP($C22,merchants!$A$1:$D$41,4,FALSE),"Merchant not found")</f>
        <v>East</v>
      </c>
      <c r="G22" s="5">
        <v>46040.0131944444</v>
      </c>
      <c r="H22" s="1">
        <v>99</v>
      </c>
      <c r="I22" s="1" t="s">
        <v>64</v>
      </c>
      <c r="J22" s="1" t="s">
        <v>50</v>
      </c>
      <c r="K22" s="1">
        <v>55</v>
      </c>
      <c r="L22" s="6">
        <f>IFERROR(HLOOKUP($I22,Reference!$B$1:$E$2,2,FALSE),0)</f>
        <v>0.02</v>
      </c>
      <c r="M22" s="7">
        <f t="shared" si="0"/>
        <v>46040</v>
      </c>
      <c r="N22" s="3" t="str">
        <f t="shared" si="1"/>
        <v>Regular</v>
      </c>
    </row>
    <row r="23" customHeight="1" spans="1:14">
      <c r="A23" s="1" t="s">
        <v>75</v>
      </c>
      <c r="B23" s="1">
        <v>336</v>
      </c>
      <c r="C23" s="1">
        <v>21</v>
      </c>
      <c r="D23" s="3" t="str">
        <f>IFERROR(VLOOKUP($C23,merchants!$A$1:$D$41,2,FALSE),"Merchant not found")</f>
        <v>Merchant_021</v>
      </c>
      <c r="E23" s="3" t="str">
        <f>IFERROR(VLOOKUP($C23,merchants!$A$1:$D$41,3,FALSE),"Merchant not found")</f>
        <v>food_delivery</v>
      </c>
      <c r="F23" s="3" t="str">
        <f>IFERROR(VLOOKUP($C23,merchants!$A$1:$D$41,4,FALSE),"Merchant not found")</f>
        <v>East</v>
      </c>
      <c r="G23" s="5">
        <v>46048.7763888889</v>
      </c>
      <c r="H23" s="1">
        <v>99</v>
      </c>
      <c r="I23" s="1" t="s">
        <v>52</v>
      </c>
      <c r="J23" s="1" t="s">
        <v>50</v>
      </c>
      <c r="K23" s="1">
        <v>59</v>
      </c>
      <c r="L23" s="6">
        <f>IFERROR(HLOOKUP($I23,Reference!$B$1:$E$2,2,FALSE),0)</f>
        <v>0</v>
      </c>
      <c r="M23" s="7">
        <f t="shared" si="0"/>
        <v>46048</v>
      </c>
      <c r="N23" s="3" t="str">
        <f t="shared" si="1"/>
        <v>Regular</v>
      </c>
    </row>
    <row r="24" customHeight="1" spans="1:14">
      <c r="A24" s="1" t="s">
        <v>76</v>
      </c>
      <c r="B24" s="1">
        <v>110</v>
      </c>
      <c r="C24" s="1">
        <v>33</v>
      </c>
      <c r="D24" s="3" t="str">
        <f>IFERROR(VLOOKUP($C24,merchants!$A$1:$D$41,2,FALSE),"Merchant not found")</f>
        <v>Merchant_033</v>
      </c>
      <c r="E24" s="3" t="str">
        <f>IFERROR(VLOOKUP($C24,merchants!$A$1:$D$41,3,FALSE),"Merchant not found")</f>
        <v>bill_payment</v>
      </c>
      <c r="F24" s="3" t="str">
        <f>IFERROR(VLOOKUP($C24,merchants!$A$1:$D$41,4,FALSE),"Merchant not found")</f>
        <v>East</v>
      </c>
      <c r="G24" s="5">
        <v>46037.6131944444</v>
      </c>
      <c r="H24" s="1">
        <v>799</v>
      </c>
      <c r="I24" s="1" t="s">
        <v>52</v>
      </c>
      <c r="J24" s="1" t="s">
        <v>50</v>
      </c>
      <c r="K24" s="1">
        <v>60</v>
      </c>
      <c r="L24" s="6">
        <f>IFERROR(HLOOKUP($I24,Reference!$B$1:$E$2,2,FALSE),0)</f>
        <v>0</v>
      </c>
      <c r="M24" s="7">
        <f t="shared" si="0"/>
        <v>46037</v>
      </c>
      <c r="N24" s="3" t="str">
        <f t="shared" si="1"/>
        <v>Regular</v>
      </c>
    </row>
    <row r="25" customHeight="1" spans="1:14">
      <c r="A25" s="1" t="s">
        <v>77</v>
      </c>
      <c r="B25" s="1">
        <v>338</v>
      </c>
      <c r="C25" s="1">
        <v>6</v>
      </c>
      <c r="D25" s="3" t="str">
        <f>IFERROR(VLOOKUP($C25,merchants!$A$1:$D$41,2,FALSE),"Merchant not found")</f>
        <v>Merchant_006</v>
      </c>
      <c r="E25" s="3" t="str">
        <f>IFERROR(VLOOKUP($C25,merchants!$A$1:$D$41,3,FALSE),"Merchant not found")</f>
        <v>food_delivery</v>
      </c>
      <c r="F25" s="3" t="str">
        <f>IFERROR(VLOOKUP($C25,merchants!$A$1:$D$41,4,FALSE),"Merchant not found")</f>
        <v>South</v>
      </c>
      <c r="G25" s="5">
        <v>46048.9652777778</v>
      </c>
      <c r="H25" s="1">
        <v>799</v>
      </c>
      <c r="I25" s="1" t="s">
        <v>52</v>
      </c>
      <c r="J25" s="1" t="s">
        <v>78</v>
      </c>
      <c r="K25" s="1">
        <v>36</v>
      </c>
      <c r="L25" s="6">
        <f>IFERROR(HLOOKUP($I25,Reference!$B$1:$E$2,2,FALSE),0)</f>
        <v>0</v>
      </c>
      <c r="M25" s="7">
        <f t="shared" si="0"/>
        <v>46048</v>
      </c>
      <c r="N25" s="3" t="str">
        <f t="shared" si="1"/>
        <v>Regular</v>
      </c>
    </row>
    <row r="26" customHeight="1" spans="1:14">
      <c r="A26" s="1" t="s">
        <v>79</v>
      </c>
      <c r="B26" s="1">
        <v>318</v>
      </c>
      <c r="C26" s="1">
        <v>22</v>
      </c>
      <c r="D26" s="3" t="str">
        <f>IFERROR(VLOOKUP($C26,merchants!$A$1:$D$41,2,FALSE),"Merchant not found")</f>
        <v>Merchant_022</v>
      </c>
      <c r="E26" s="3" t="str">
        <f>IFERROR(VLOOKUP($C26,merchants!$A$1:$D$41,3,FALSE),"Merchant not found")</f>
        <v>travel</v>
      </c>
      <c r="F26" s="3" t="str">
        <f>IFERROR(VLOOKUP($C26,merchants!$A$1:$D$41,4,FALSE),"Merchant not found")</f>
        <v>South</v>
      </c>
      <c r="G26" s="5">
        <v>46039.9027777778</v>
      </c>
      <c r="H26" s="1">
        <v>799</v>
      </c>
      <c r="I26" s="1" t="s">
        <v>49</v>
      </c>
      <c r="J26" s="1" t="s">
        <v>50</v>
      </c>
      <c r="K26" s="1">
        <v>11</v>
      </c>
      <c r="L26" s="6">
        <f>IFERROR(HLOOKUP($I26,Reference!$B$1:$E$2,2,FALSE),0)</f>
        <v>0.015</v>
      </c>
      <c r="M26" s="7">
        <f t="shared" si="0"/>
        <v>46039</v>
      </c>
      <c r="N26" s="3" t="str">
        <f t="shared" si="1"/>
        <v>Regular</v>
      </c>
    </row>
    <row r="27" customHeight="1" spans="1:14">
      <c r="A27" s="1" t="s">
        <v>80</v>
      </c>
      <c r="B27" s="1">
        <v>159</v>
      </c>
      <c r="C27" s="1">
        <v>15</v>
      </c>
      <c r="D27" s="3" t="str">
        <f>IFERROR(VLOOKUP($C27,merchants!$A$1:$D$41,2,FALSE),"Merchant not found")</f>
        <v>Merchant_015</v>
      </c>
      <c r="E27" s="3" t="str">
        <f>IFERROR(VLOOKUP($C27,merchants!$A$1:$D$41,3,FALSE),"Merchant not found")</f>
        <v>travel</v>
      </c>
      <c r="F27" s="3" t="str">
        <f>IFERROR(VLOOKUP($C27,merchants!$A$1:$D$41,4,FALSE),"Merchant not found")</f>
        <v>North</v>
      </c>
      <c r="G27" s="5">
        <v>46049.3215277778</v>
      </c>
      <c r="H27" s="1">
        <v>799</v>
      </c>
      <c r="I27" s="1" t="s">
        <v>52</v>
      </c>
      <c r="J27" s="1" t="s">
        <v>50</v>
      </c>
      <c r="K27" s="1">
        <v>25</v>
      </c>
      <c r="L27" s="6">
        <f>IFERROR(HLOOKUP($I27,Reference!$B$1:$E$2,2,FALSE),0)</f>
        <v>0</v>
      </c>
      <c r="M27" s="7">
        <f t="shared" si="0"/>
        <v>46049</v>
      </c>
      <c r="N27" s="3" t="str">
        <f t="shared" si="1"/>
        <v>Regular</v>
      </c>
    </row>
    <row r="28" customHeight="1" spans="1:14">
      <c r="A28" s="1" t="s">
        <v>81</v>
      </c>
      <c r="B28" s="1">
        <v>126</v>
      </c>
      <c r="C28" s="1">
        <v>31</v>
      </c>
      <c r="D28" s="3" t="str">
        <f>IFERROR(VLOOKUP($C28,merchants!$A$1:$D$41,2,FALSE),"Merchant not found")</f>
        <v>Merchant_031</v>
      </c>
      <c r="E28" s="3" t="str">
        <f>IFERROR(VLOOKUP($C28,merchants!$A$1:$D$41,3,FALSE),"Merchant not found")</f>
        <v>bill_payment</v>
      </c>
      <c r="F28" s="3" t="str">
        <f>IFERROR(VLOOKUP($C28,merchants!$A$1:$D$41,4,FALSE),"Merchant not found")</f>
        <v>East</v>
      </c>
      <c r="G28" s="5">
        <v>46027.0013888889</v>
      </c>
      <c r="H28" s="1">
        <v>49</v>
      </c>
      <c r="I28" s="1" t="s">
        <v>64</v>
      </c>
      <c r="J28" s="1" t="s">
        <v>50</v>
      </c>
      <c r="K28" s="1">
        <v>78</v>
      </c>
      <c r="L28" s="6">
        <f>IFERROR(HLOOKUP($I28,Reference!$B$1:$E$2,2,FALSE),0)</f>
        <v>0.02</v>
      </c>
      <c r="M28" s="7">
        <f t="shared" si="0"/>
        <v>46027</v>
      </c>
      <c r="N28" s="3" t="str">
        <f t="shared" si="1"/>
        <v>Regular</v>
      </c>
    </row>
    <row r="29" customHeight="1" spans="1:14">
      <c r="A29" s="1" t="s">
        <v>82</v>
      </c>
      <c r="B29" s="1">
        <v>213</v>
      </c>
      <c r="C29" s="1">
        <v>37</v>
      </c>
      <c r="D29" s="3" t="str">
        <f>IFERROR(VLOOKUP($C29,merchants!$A$1:$D$41,2,FALSE),"Merchant not found")</f>
        <v>Merchant_037</v>
      </c>
      <c r="E29" s="3" t="str">
        <f>IFERROR(VLOOKUP($C29,merchants!$A$1:$D$41,3,FALSE),"Merchant not found")</f>
        <v>entertainment</v>
      </c>
      <c r="F29" s="3" t="str">
        <f>IFERROR(VLOOKUP($C29,merchants!$A$1:$D$41,4,FALSE),"Merchant not found")</f>
        <v>South</v>
      </c>
      <c r="G29" s="5">
        <v>46050.1034722222</v>
      </c>
      <c r="H29" s="1">
        <v>99</v>
      </c>
      <c r="I29" s="1" t="s">
        <v>52</v>
      </c>
      <c r="J29" s="1" t="s">
        <v>50</v>
      </c>
      <c r="K29" s="1">
        <v>24</v>
      </c>
      <c r="L29" s="6">
        <f>IFERROR(HLOOKUP($I29,Reference!$B$1:$E$2,2,FALSE),0)</f>
        <v>0</v>
      </c>
      <c r="M29" s="7">
        <f t="shared" si="0"/>
        <v>46050</v>
      </c>
      <c r="N29" s="3" t="str">
        <f t="shared" si="1"/>
        <v>Regular</v>
      </c>
    </row>
    <row r="30" customHeight="1" spans="1:14">
      <c r="A30" s="1" t="s">
        <v>83</v>
      </c>
      <c r="B30" s="1">
        <v>254</v>
      </c>
      <c r="C30" s="1">
        <v>26</v>
      </c>
      <c r="D30" s="3" t="str">
        <f>IFERROR(VLOOKUP($C30,merchants!$A$1:$D$41,2,FALSE),"Merchant not found")</f>
        <v>Merchant_026</v>
      </c>
      <c r="E30" s="3" t="str">
        <f>IFERROR(VLOOKUP($C30,merchants!$A$1:$D$41,3,FALSE),"Merchant not found")</f>
        <v>food_delivery</v>
      </c>
      <c r="F30" s="3" t="str">
        <f>IFERROR(VLOOKUP($C30,merchants!$A$1:$D$41,4,FALSE),"Merchant not found")</f>
        <v>East</v>
      </c>
      <c r="G30" s="5">
        <v>46045.9333333333</v>
      </c>
      <c r="H30" s="1">
        <v>99</v>
      </c>
      <c r="I30" s="1" t="s">
        <v>49</v>
      </c>
      <c r="J30" s="1" t="s">
        <v>50</v>
      </c>
      <c r="K30" s="1">
        <v>31</v>
      </c>
      <c r="L30" s="6">
        <f>IFERROR(HLOOKUP($I30,Reference!$B$1:$E$2,2,FALSE),0)</f>
        <v>0.015</v>
      </c>
      <c r="M30" s="7">
        <f t="shared" si="0"/>
        <v>46045</v>
      </c>
      <c r="N30" s="3" t="str">
        <f t="shared" si="1"/>
        <v>Regular</v>
      </c>
    </row>
    <row r="31" customHeight="1" spans="1:14">
      <c r="A31" s="1" t="s">
        <v>84</v>
      </c>
      <c r="B31" s="1">
        <v>3</v>
      </c>
      <c r="C31" s="1">
        <v>7</v>
      </c>
      <c r="D31" s="3" t="str">
        <f>IFERROR(VLOOKUP($C31,merchants!$A$1:$D$41,2,FALSE),"Merchant not found")</f>
        <v>Merchant_007</v>
      </c>
      <c r="E31" s="3" t="str">
        <f>IFERROR(VLOOKUP($C31,merchants!$A$1:$D$41,3,FALSE),"Merchant not found")</f>
        <v>food_delivery</v>
      </c>
      <c r="F31" s="3" t="str">
        <f>IFERROR(VLOOKUP($C31,merchants!$A$1:$D$41,4,FALSE),"Merchant not found")</f>
        <v>East</v>
      </c>
      <c r="G31" s="5">
        <v>46027.8638888889</v>
      </c>
      <c r="H31" s="1">
        <v>1499</v>
      </c>
      <c r="I31" s="1" t="s">
        <v>52</v>
      </c>
      <c r="J31" s="1" t="s">
        <v>50</v>
      </c>
      <c r="K31" s="1">
        <v>99</v>
      </c>
      <c r="L31" s="6">
        <f>IFERROR(HLOOKUP($I31,Reference!$B$1:$E$2,2,FALSE),0)</f>
        <v>0</v>
      </c>
      <c r="M31" s="7">
        <f t="shared" si="0"/>
        <v>46027</v>
      </c>
      <c r="N31" s="3" t="str">
        <f t="shared" si="1"/>
        <v>Regular</v>
      </c>
    </row>
    <row r="32" customHeight="1" spans="1:14">
      <c r="A32" s="1" t="s">
        <v>85</v>
      </c>
      <c r="B32" s="1">
        <v>266</v>
      </c>
      <c r="C32" s="1">
        <v>30</v>
      </c>
      <c r="D32" s="3" t="str">
        <f>IFERROR(VLOOKUP($C32,merchants!$A$1:$D$41,2,FALSE),"Merchant not found")</f>
        <v>Merchant_030</v>
      </c>
      <c r="E32" s="3" t="str">
        <f>IFERROR(VLOOKUP($C32,merchants!$A$1:$D$41,3,FALSE),"Merchant not found")</f>
        <v>travel</v>
      </c>
      <c r="F32" s="3" t="str">
        <f>IFERROR(VLOOKUP($C32,merchants!$A$1:$D$41,4,FALSE),"Merchant not found")</f>
        <v>West</v>
      </c>
      <c r="G32" s="5">
        <v>46036.2993055556</v>
      </c>
      <c r="H32" s="1">
        <v>499</v>
      </c>
      <c r="I32" s="1" t="s">
        <v>64</v>
      </c>
      <c r="J32" s="1" t="s">
        <v>50</v>
      </c>
      <c r="K32" s="1">
        <v>6</v>
      </c>
      <c r="L32" s="6">
        <f>IFERROR(HLOOKUP($I32,Reference!$B$1:$E$2,2,FALSE),0)</f>
        <v>0.02</v>
      </c>
      <c r="M32" s="7">
        <f t="shared" si="0"/>
        <v>46036</v>
      </c>
      <c r="N32" s="3" t="str">
        <f t="shared" si="1"/>
        <v>Regular</v>
      </c>
    </row>
    <row r="33" customHeight="1" spans="1:14">
      <c r="A33" s="1" t="s">
        <v>86</v>
      </c>
      <c r="B33" s="1">
        <v>63</v>
      </c>
      <c r="C33" s="1">
        <v>30</v>
      </c>
      <c r="D33" s="3" t="str">
        <f>IFERROR(VLOOKUP($C33,merchants!$A$1:$D$41,2,FALSE),"Merchant not found")</f>
        <v>Merchant_030</v>
      </c>
      <c r="E33" s="3" t="str">
        <f>IFERROR(VLOOKUP($C33,merchants!$A$1:$D$41,3,FALSE),"Merchant not found")</f>
        <v>travel</v>
      </c>
      <c r="F33" s="3" t="str">
        <f>IFERROR(VLOOKUP($C33,merchants!$A$1:$D$41,4,FALSE),"Merchant not found")</f>
        <v>West</v>
      </c>
      <c r="G33" s="5">
        <v>46040.3319444444</v>
      </c>
      <c r="H33" s="1">
        <v>799</v>
      </c>
      <c r="I33" s="1" t="s">
        <v>52</v>
      </c>
      <c r="J33" s="1" t="s">
        <v>50</v>
      </c>
      <c r="K33" s="1">
        <v>17</v>
      </c>
      <c r="L33" s="6">
        <f>IFERROR(HLOOKUP($I33,Reference!$B$1:$E$2,2,FALSE),0)</f>
        <v>0</v>
      </c>
      <c r="M33" s="7">
        <f t="shared" si="0"/>
        <v>46040</v>
      </c>
      <c r="N33" s="3" t="str">
        <f t="shared" si="1"/>
        <v>Regular</v>
      </c>
    </row>
    <row r="34" customHeight="1" spans="1:14">
      <c r="A34" s="1" t="s">
        <v>87</v>
      </c>
      <c r="B34" s="1">
        <v>272</v>
      </c>
      <c r="C34" s="1">
        <v>36</v>
      </c>
      <c r="D34" s="3" t="str">
        <f>IFERROR(VLOOKUP($C34,merchants!$A$1:$D$41,2,FALSE),"Merchant not found")</f>
        <v>Merchant_036</v>
      </c>
      <c r="E34" s="3" t="str">
        <f>IFERROR(VLOOKUP($C34,merchants!$A$1:$D$41,3,FALSE),"Merchant not found")</f>
        <v>entertainment</v>
      </c>
      <c r="F34" s="3" t="str">
        <f>IFERROR(VLOOKUP($C34,merchants!$A$1:$D$41,4,FALSE),"Merchant not found")</f>
        <v>East</v>
      </c>
      <c r="G34" s="5">
        <v>46048.6125</v>
      </c>
      <c r="H34" s="1">
        <v>149</v>
      </c>
      <c r="I34" s="1" t="s">
        <v>52</v>
      </c>
      <c r="J34" s="1" t="s">
        <v>50</v>
      </c>
      <c r="K34" s="1">
        <v>76</v>
      </c>
      <c r="L34" s="6">
        <f>IFERROR(HLOOKUP($I34,Reference!$B$1:$E$2,2,FALSE),0)</f>
        <v>0</v>
      </c>
      <c r="M34" s="7">
        <f t="shared" si="0"/>
        <v>46048</v>
      </c>
      <c r="N34" s="3" t="str">
        <f t="shared" si="1"/>
        <v>Regular</v>
      </c>
    </row>
    <row r="35" customHeight="1" spans="1:14">
      <c r="A35" s="1" t="s">
        <v>88</v>
      </c>
      <c r="B35" s="1">
        <v>259</v>
      </c>
      <c r="C35" s="1">
        <v>28</v>
      </c>
      <c r="D35" s="3" t="str">
        <f>IFERROR(VLOOKUP($C35,merchants!$A$1:$D$41,2,FALSE),"Merchant not found")</f>
        <v>Merchant_028</v>
      </c>
      <c r="E35" s="3" t="str">
        <f>IFERROR(VLOOKUP($C35,merchants!$A$1:$D$41,3,FALSE),"Merchant not found")</f>
        <v>ecommerce</v>
      </c>
      <c r="F35" s="3" t="str">
        <f>IFERROR(VLOOKUP($C35,merchants!$A$1:$D$41,4,FALSE),"Merchant not found")</f>
        <v>South</v>
      </c>
      <c r="G35" s="5">
        <v>46033.6104166667</v>
      </c>
      <c r="H35" s="1">
        <v>49</v>
      </c>
      <c r="I35" s="1" t="s">
        <v>49</v>
      </c>
      <c r="J35" s="1" t="s">
        <v>50</v>
      </c>
      <c r="K35" s="1">
        <v>70</v>
      </c>
      <c r="L35" s="6">
        <f>IFERROR(HLOOKUP($I35,Reference!$B$1:$E$2,2,FALSE),0)</f>
        <v>0.015</v>
      </c>
      <c r="M35" s="7">
        <f t="shared" si="0"/>
        <v>46033</v>
      </c>
      <c r="N35" s="3" t="str">
        <f t="shared" si="1"/>
        <v>Regular</v>
      </c>
    </row>
    <row r="36" customHeight="1" spans="1:14">
      <c r="A36" s="1" t="s">
        <v>89</v>
      </c>
      <c r="B36" s="1">
        <v>244</v>
      </c>
      <c r="C36" s="1">
        <v>29</v>
      </c>
      <c r="D36" s="3" t="str">
        <f>IFERROR(VLOOKUP($C36,merchants!$A$1:$D$41,2,FALSE),"Merchant not found")</f>
        <v>Merchant_029</v>
      </c>
      <c r="E36" s="3" t="str">
        <f>IFERROR(VLOOKUP($C36,merchants!$A$1:$D$41,3,FALSE),"Merchant not found")</f>
        <v>ecommerce</v>
      </c>
      <c r="F36" s="3" t="str">
        <f>IFERROR(VLOOKUP($C36,merchants!$A$1:$D$41,4,FALSE),"Merchant not found")</f>
        <v>North</v>
      </c>
      <c r="G36" s="5">
        <v>46037.2409722222</v>
      </c>
      <c r="H36" s="1">
        <v>299</v>
      </c>
      <c r="I36" s="1" t="s">
        <v>55</v>
      </c>
      <c r="J36" s="1" t="s">
        <v>50</v>
      </c>
      <c r="K36" s="1">
        <v>33</v>
      </c>
      <c r="L36" s="6">
        <f>IFERROR(HLOOKUP($I36,Reference!$B$1:$E$2,2,FALSE),0)</f>
        <v>0.01</v>
      </c>
      <c r="M36" s="7">
        <f t="shared" si="0"/>
        <v>46037</v>
      </c>
      <c r="N36" s="3" t="str">
        <f t="shared" si="1"/>
        <v>Regular</v>
      </c>
    </row>
    <row r="37" customHeight="1" spans="1:14">
      <c r="A37" s="1" t="s">
        <v>90</v>
      </c>
      <c r="B37" s="1">
        <v>327</v>
      </c>
      <c r="C37" s="1">
        <v>18</v>
      </c>
      <c r="D37" s="3" t="str">
        <f>IFERROR(VLOOKUP($C37,merchants!$A$1:$D$41,2,FALSE),"Merchant not found")</f>
        <v>Merchant_018</v>
      </c>
      <c r="E37" s="3" t="str">
        <f>IFERROR(VLOOKUP($C37,merchants!$A$1:$D$41,3,FALSE),"Merchant not found")</f>
        <v>grocery</v>
      </c>
      <c r="F37" s="3" t="str">
        <f>IFERROR(VLOOKUP($C37,merchants!$A$1:$D$41,4,FALSE),"Merchant not found")</f>
        <v>West</v>
      </c>
      <c r="G37" s="5">
        <v>46047.3284722222</v>
      </c>
      <c r="H37" s="1">
        <v>149</v>
      </c>
      <c r="I37" s="1" t="s">
        <v>64</v>
      </c>
      <c r="J37" s="1" t="s">
        <v>50</v>
      </c>
      <c r="K37" s="1">
        <v>98</v>
      </c>
      <c r="L37" s="6">
        <f>IFERROR(HLOOKUP($I37,Reference!$B$1:$E$2,2,FALSE),0)</f>
        <v>0.02</v>
      </c>
      <c r="M37" s="7">
        <f t="shared" si="0"/>
        <v>46047</v>
      </c>
      <c r="N37" s="3" t="str">
        <f t="shared" si="1"/>
        <v>Regular</v>
      </c>
    </row>
    <row r="38" customHeight="1" spans="1:14">
      <c r="A38" s="1" t="s">
        <v>91</v>
      </c>
      <c r="B38" s="1">
        <v>321</v>
      </c>
      <c r="C38" s="1">
        <v>16</v>
      </c>
      <c r="D38" s="3" t="str">
        <f>IFERROR(VLOOKUP($C38,merchants!$A$1:$D$41,2,FALSE),"Merchant not found")</f>
        <v>Merchant_016</v>
      </c>
      <c r="E38" s="3" t="str">
        <f>IFERROR(VLOOKUP($C38,merchants!$A$1:$D$41,3,FALSE),"Merchant not found")</f>
        <v>bill_payment</v>
      </c>
      <c r="F38" s="3" t="str">
        <f>IFERROR(VLOOKUP($C38,merchants!$A$1:$D$41,4,FALSE),"Merchant not found")</f>
        <v>West</v>
      </c>
      <c r="G38" s="5">
        <v>46047.6881944444</v>
      </c>
      <c r="H38" s="1">
        <v>49</v>
      </c>
      <c r="I38" s="1" t="s">
        <v>52</v>
      </c>
      <c r="J38" s="1" t="s">
        <v>50</v>
      </c>
      <c r="K38" s="1">
        <v>35</v>
      </c>
      <c r="L38" s="6">
        <f>IFERROR(HLOOKUP($I38,Reference!$B$1:$E$2,2,FALSE),0)</f>
        <v>0</v>
      </c>
      <c r="M38" s="7">
        <f t="shared" si="0"/>
        <v>46047</v>
      </c>
      <c r="N38" s="3" t="str">
        <f t="shared" si="1"/>
        <v>Regular</v>
      </c>
    </row>
    <row r="39" customHeight="1" spans="1:14">
      <c r="A39" s="1" t="s">
        <v>92</v>
      </c>
      <c r="B39" s="1">
        <v>147</v>
      </c>
      <c r="C39" s="1">
        <v>16</v>
      </c>
      <c r="D39" s="3" t="str">
        <f>IFERROR(VLOOKUP($C39,merchants!$A$1:$D$41,2,FALSE),"Merchant not found")</f>
        <v>Merchant_016</v>
      </c>
      <c r="E39" s="3" t="str">
        <f>IFERROR(VLOOKUP($C39,merchants!$A$1:$D$41,3,FALSE),"Merchant not found")</f>
        <v>bill_payment</v>
      </c>
      <c r="F39" s="3" t="str">
        <f>IFERROR(VLOOKUP($C39,merchants!$A$1:$D$41,4,FALSE),"Merchant not found")</f>
        <v>West</v>
      </c>
      <c r="G39" s="5">
        <v>46037.1145833333</v>
      </c>
      <c r="H39" s="1">
        <v>2999</v>
      </c>
      <c r="I39" s="1" t="s">
        <v>64</v>
      </c>
      <c r="J39" s="1" t="s">
        <v>50</v>
      </c>
      <c r="K39" s="1">
        <v>34</v>
      </c>
      <c r="L39" s="6">
        <f>IFERROR(HLOOKUP($I39,Reference!$B$1:$E$2,2,FALSE),0)</f>
        <v>0.02</v>
      </c>
      <c r="M39" s="7">
        <f t="shared" si="0"/>
        <v>46037</v>
      </c>
      <c r="N39" s="3" t="str">
        <f t="shared" si="1"/>
        <v>Regular</v>
      </c>
    </row>
    <row r="40" customHeight="1" spans="1:14">
      <c r="A40" s="1" t="s">
        <v>93</v>
      </c>
      <c r="B40" s="1">
        <v>277</v>
      </c>
      <c r="C40" s="1">
        <v>6</v>
      </c>
      <c r="D40" s="3" t="str">
        <f>IFERROR(VLOOKUP($C40,merchants!$A$1:$D$41,2,FALSE),"Merchant not found")</f>
        <v>Merchant_006</v>
      </c>
      <c r="E40" s="3" t="str">
        <f>IFERROR(VLOOKUP($C40,merchants!$A$1:$D$41,3,FALSE),"Merchant not found")</f>
        <v>food_delivery</v>
      </c>
      <c r="F40" s="3" t="str">
        <f>IFERROR(VLOOKUP($C40,merchants!$A$1:$D$41,4,FALSE),"Merchant not found")</f>
        <v>South</v>
      </c>
      <c r="G40" s="5">
        <v>46033.45625</v>
      </c>
      <c r="H40" s="1">
        <v>1499</v>
      </c>
      <c r="I40" s="1" t="s">
        <v>64</v>
      </c>
      <c r="J40" s="1" t="s">
        <v>50</v>
      </c>
      <c r="K40" s="1">
        <v>17</v>
      </c>
      <c r="L40" s="6">
        <f>IFERROR(HLOOKUP($I40,Reference!$B$1:$E$2,2,FALSE),0)</f>
        <v>0.02</v>
      </c>
      <c r="M40" s="7">
        <f t="shared" si="0"/>
        <v>46033</v>
      </c>
      <c r="N40" s="3" t="str">
        <f t="shared" si="1"/>
        <v>Regular</v>
      </c>
    </row>
    <row r="41" customHeight="1" spans="1:14">
      <c r="A41" s="1" t="s">
        <v>94</v>
      </c>
      <c r="B41" s="1">
        <v>79</v>
      </c>
      <c r="C41" s="1">
        <v>14</v>
      </c>
      <c r="D41" s="3" t="str">
        <f>IFERROR(VLOOKUP($C41,merchants!$A$1:$D$41,2,FALSE),"Merchant not found")</f>
        <v>Merchant_014</v>
      </c>
      <c r="E41" s="3" t="str">
        <f>IFERROR(VLOOKUP($C41,merchants!$A$1:$D$41,3,FALSE),"Merchant not found")</f>
        <v>grocery</v>
      </c>
      <c r="F41" s="3" t="str">
        <f>IFERROR(VLOOKUP($C41,merchants!$A$1:$D$41,4,FALSE),"Merchant not found")</f>
        <v>East</v>
      </c>
      <c r="G41" s="5">
        <v>46027.3083333333</v>
      </c>
      <c r="H41" s="1">
        <v>1499</v>
      </c>
      <c r="I41" s="1" t="s">
        <v>52</v>
      </c>
      <c r="J41" s="1" t="s">
        <v>50</v>
      </c>
      <c r="K41" s="1">
        <v>8</v>
      </c>
      <c r="L41" s="6">
        <f>IFERROR(HLOOKUP($I41,Reference!$B$1:$E$2,2,FALSE),0)</f>
        <v>0</v>
      </c>
      <c r="M41" s="7">
        <f t="shared" si="0"/>
        <v>46027</v>
      </c>
      <c r="N41" s="3" t="str">
        <f t="shared" si="1"/>
        <v>Regular</v>
      </c>
    </row>
    <row r="42" customHeight="1" spans="1:14">
      <c r="A42" s="1" t="s">
        <v>95</v>
      </c>
      <c r="B42" s="1">
        <v>278</v>
      </c>
      <c r="C42" s="1">
        <v>30</v>
      </c>
      <c r="D42" s="3" t="str">
        <f>IFERROR(VLOOKUP($C42,merchants!$A$1:$D$41,2,FALSE),"Merchant not found")</f>
        <v>Merchant_030</v>
      </c>
      <c r="E42" s="3" t="str">
        <f>IFERROR(VLOOKUP($C42,merchants!$A$1:$D$41,3,FALSE),"Merchant not found")</f>
        <v>travel</v>
      </c>
      <c r="F42" s="3" t="str">
        <f>IFERROR(VLOOKUP($C42,merchants!$A$1:$D$41,4,FALSE),"Merchant not found")</f>
        <v>West</v>
      </c>
      <c r="G42" s="5">
        <v>46036.55625</v>
      </c>
      <c r="H42" s="1">
        <v>1499</v>
      </c>
      <c r="I42" s="1" t="s">
        <v>52</v>
      </c>
      <c r="J42" s="1" t="s">
        <v>50</v>
      </c>
      <c r="K42" s="1">
        <v>53</v>
      </c>
      <c r="L42" s="6">
        <f>IFERROR(HLOOKUP($I42,Reference!$B$1:$E$2,2,FALSE),0)</f>
        <v>0</v>
      </c>
      <c r="M42" s="7">
        <f t="shared" si="0"/>
        <v>46036</v>
      </c>
      <c r="N42" s="3" t="str">
        <f t="shared" si="1"/>
        <v>Regular</v>
      </c>
    </row>
    <row r="43" customHeight="1" spans="1:14">
      <c r="A43" s="1" t="s">
        <v>96</v>
      </c>
      <c r="B43" s="1">
        <v>216</v>
      </c>
      <c r="C43" s="1">
        <v>25</v>
      </c>
      <c r="D43" s="3" t="str">
        <f>IFERROR(VLOOKUP($C43,merchants!$A$1:$D$41,2,FALSE),"Merchant not found")</f>
        <v>Merchant_025</v>
      </c>
      <c r="E43" s="3" t="str">
        <f>IFERROR(VLOOKUP($C43,merchants!$A$1:$D$41,3,FALSE),"Merchant not found")</f>
        <v>travel</v>
      </c>
      <c r="F43" s="3" t="str">
        <f>IFERROR(VLOOKUP($C43,merchants!$A$1:$D$41,4,FALSE),"Merchant not found")</f>
        <v>South</v>
      </c>
      <c r="G43" s="5">
        <v>46024.2868055556</v>
      </c>
      <c r="H43" s="1">
        <v>99</v>
      </c>
      <c r="I43" s="1" t="s">
        <v>52</v>
      </c>
      <c r="J43" s="1" t="s">
        <v>50</v>
      </c>
      <c r="K43" s="1">
        <v>98</v>
      </c>
      <c r="L43" s="6">
        <f>IFERROR(HLOOKUP($I43,Reference!$B$1:$E$2,2,FALSE),0)</f>
        <v>0</v>
      </c>
      <c r="M43" s="7">
        <f t="shared" si="0"/>
        <v>46024</v>
      </c>
      <c r="N43" s="3" t="str">
        <f t="shared" si="1"/>
        <v>Regular</v>
      </c>
    </row>
    <row r="44" customHeight="1" spans="1:14">
      <c r="A44" s="1" t="s">
        <v>97</v>
      </c>
      <c r="B44" s="1">
        <v>295</v>
      </c>
      <c r="C44" s="1">
        <v>25</v>
      </c>
      <c r="D44" s="3" t="str">
        <f>IFERROR(VLOOKUP($C44,merchants!$A$1:$D$41,2,FALSE),"Merchant not found")</f>
        <v>Merchant_025</v>
      </c>
      <c r="E44" s="3" t="str">
        <f>IFERROR(VLOOKUP($C44,merchants!$A$1:$D$41,3,FALSE),"Merchant not found")</f>
        <v>travel</v>
      </c>
      <c r="F44" s="3" t="str">
        <f>IFERROR(VLOOKUP($C44,merchants!$A$1:$D$41,4,FALSE),"Merchant not found")</f>
        <v>South</v>
      </c>
      <c r="G44" s="5">
        <v>46041.9173611111</v>
      </c>
      <c r="H44" s="1">
        <v>1499</v>
      </c>
      <c r="I44" s="1" t="s">
        <v>52</v>
      </c>
      <c r="J44" s="1" t="s">
        <v>50</v>
      </c>
      <c r="K44" s="1">
        <v>61</v>
      </c>
      <c r="L44" s="6">
        <f>IFERROR(HLOOKUP($I44,Reference!$B$1:$E$2,2,FALSE),0)</f>
        <v>0</v>
      </c>
      <c r="M44" s="7">
        <f t="shared" si="0"/>
        <v>46041</v>
      </c>
      <c r="N44" s="3" t="str">
        <f t="shared" si="1"/>
        <v>Regular</v>
      </c>
    </row>
    <row r="45" customHeight="1" spans="1:14">
      <c r="A45" s="1" t="s">
        <v>98</v>
      </c>
      <c r="B45" s="1">
        <v>200</v>
      </c>
      <c r="C45" s="1">
        <v>27</v>
      </c>
      <c r="D45" s="3" t="str">
        <f>IFERROR(VLOOKUP($C45,merchants!$A$1:$D$41,2,FALSE),"Merchant not found")</f>
        <v>Merchant_027</v>
      </c>
      <c r="E45" s="3" t="str">
        <f>IFERROR(VLOOKUP($C45,merchants!$A$1:$D$41,3,FALSE),"Merchant not found")</f>
        <v>ecommerce</v>
      </c>
      <c r="F45" s="3" t="str">
        <f>IFERROR(VLOOKUP($C45,merchants!$A$1:$D$41,4,FALSE),"Merchant not found")</f>
        <v>North</v>
      </c>
      <c r="G45" s="5">
        <v>46023.4715277778</v>
      </c>
      <c r="H45" s="1">
        <v>149</v>
      </c>
      <c r="I45" s="1" t="s">
        <v>52</v>
      </c>
      <c r="J45" s="1" t="s">
        <v>50</v>
      </c>
      <c r="K45" s="1">
        <v>68</v>
      </c>
      <c r="L45" s="6">
        <f>IFERROR(HLOOKUP($I45,Reference!$B$1:$E$2,2,FALSE),0)</f>
        <v>0</v>
      </c>
      <c r="M45" s="7">
        <f t="shared" si="0"/>
        <v>46023</v>
      </c>
      <c r="N45" s="3" t="str">
        <f t="shared" si="1"/>
        <v>Regular</v>
      </c>
    </row>
    <row r="46" customHeight="1" spans="1:14">
      <c r="A46" s="1" t="s">
        <v>99</v>
      </c>
      <c r="B46" s="1">
        <v>309</v>
      </c>
      <c r="C46" s="1">
        <v>15</v>
      </c>
      <c r="D46" s="3" t="str">
        <f>IFERROR(VLOOKUP($C46,merchants!$A$1:$D$41,2,FALSE),"Merchant not found")</f>
        <v>Merchant_015</v>
      </c>
      <c r="E46" s="3" t="str">
        <f>IFERROR(VLOOKUP($C46,merchants!$A$1:$D$41,3,FALSE),"Merchant not found")</f>
        <v>travel</v>
      </c>
      <c r="F46" s="3" t="str">
        <f>IFERROR(VLOOKUP($C46,merchants!$A$1:$D$41,4,FALSE),"Merchant not found")</f>
        <v>North</v>
      </c>
      <c r="G46" s="5">
        <v>46046.9819444444</v>
      </c>
      <c r="H46" s="1">
        <v>99</v>
      </c>
      <c r="I46" s="1" t="s">
        <v>55</v>
      </c>
      <c r="J46" s="1" t="s">
        <v>50</v>
      </c>
      <c r="K46" s="1">
        <v>62</v>
      </c>
      <c r="L46" s="6">
        <f>IFERROR(HLOOKUP($I46,Reference!$B$1:$E$2,2,FALSE),0)</f>
        <v>0.01</v>
      </c>
      <c r="M46" s="7">
        <f t="shared" si="0"/>
        <v>46046</v>
      </c>
      <c r="N46" s="3" t="str">
        <f t="shared" si="1"/>
        <v>Regular</v>
      </c>
    </row>
    <row r="47" customHeight="1" spans="1:14">
      <c r="A47" s="1" t="s">
        <v>100</v>
      </c>
      <c r="B47" s="1">
        <v>249</v>
      </c>
      <c r="C47" s="1">
        <v>2</v>
      </c>
      <c r="D47" s="3" t="str">
        <f>IFERROR(VLOOKUP($C47,merchants!$A$1:$D$41,2,FALSE),"Merchant not found")</f>
        <v>Merchant_002</v>
      </c>
      <c r="E47" s="3" t="str">
        <f>IFERROR(VLOOKUP($C47,merchants!$A$1:$D$41,3,FALSE),"Merchant not found")</f>
        <v>grocery</v>
      </c>
      <c r="F47" s="3" t="str">
        <f>IFERROR(VLOOKUP($C47,merchants!$A$1:$D$41,4,FALSE),"Merchant not found")</f>
        <v>West</v>
      </c>
      <c r="G47" s="5">
        <v>46030.3520833333</v>
      </c>
      <c r="H47" s="1">
        <v>299</v>
      </c>
      <c r="I47" s="1" t="s">
        <v>49</v>
      </c>
      <c r="J47" s="1" t="s">
        <v>50</v>
      </c>
      <c r="K47" s="1">
        <v>49</v>
      </c>
      <c r="L47" s="6">
        <f>IFERROR(HLOOKUP($I47,Reference!$B$1:$E$2,2,FALSE),0)</f>
        <v>0.015</v>
      </c>
      <c r="M47" s="7">
        <f t="shared" si="0"/>
        <v>46030</v>
      </c>
      <c r="N47" s="3" t="str">
        <f t="shared" si="1"/>
        <v>Regular</v>
      </c>
    </row>
    <row r="48" customHeight="1" spans="1:14">
      <c r="A48" s="1" t="s">
        <v>101</v>
      </c>
      <c r="B48" s="1">
        <v>208</v>
      </c>
      <c r="C48" s="1">
        <v>11</v>
      </c>
      <c r="D48" s="3" t="str">
        <f>IFERROR(VLOOKUP($C48,merchants!$A$1:$D$41,2,FALSE),"Merchant not found")</f>
        <v>Merchant_011</v>
      </c>
      <c r="E48" s="3" t="str">
        <f>IFERROR(VLOOKUP($C48,merchants!$A$1:$D$41,3,FALSE),"Merchant not found")</f>
        <v>ecommerce</v>
      </c>
      <c r="F48" s="3" t="str">
        <f>IFERROR(VLOOKUP($C48,merchants!$A$1:$D$41,4,FALSE),"Merchant not found")</f>
        <v>North</v>
      </c>
      <c r="G48" s="5">
        <v>46033.9048611111</v>
      </c>
      <c r="H48" s="1">
        <v>4999</v>
      </c>
      <c r="I48" s="1" t="s">
        <v>55</v>
      </c>
      <c r="J48" s="1" t="s">
        <v>50</v>
      </c>
      <c r="K48" s="1">
        <v>59</v>
      </c>
      <c r="L48" s="6">
        <f>IFERROR(HLOOKUP($I48,Reference!$B$1:$E$2,2,FALSE),0)</f>
        <v>0.01</v>
      </c>
      <c r="M48" s="7">
        <f t="shared" si="0"/>
        <v>46033</v>
      </c>
      <c r="N48" s="3" t="str">
        <f t="shared" si="1"/>
        <v>Regular</v>
      </c>
    </row>
    <row r="49" customHeight="1" spans="1:14">
      <c r="A49" s="1" t="s">
        <v>102</v>
      </c>
      <c r="B49" s="1">
        <v>274</v>
      </c>
      <c r="C49" s="1">
        <v>2</v>
      </c>
      <c r="D49" s="3" t="str">
        <f>IFERROR(VLOOKUP($C49,merchants!$A$1:$D$41,2,FALSE),"Merchant not found")</f>
        <v>Merchant_002</v>
      </c>
      <c r="E49" s="3" t="str">
        <f>IFERROR(VLOOKUP($C49,merchants!$A$1:$D$41,3,FALSE),"Merchant not found")</f>
        <v>grocery</v>
      </c>
      <c r="F49" s="3" t="str">
        <f>IFERROR(VLOOKUP($C49,merchants!$A$1:$D$41,4,FALSE),"Merchant not found")</f>
        <v>West</v>
      </c>
      <c r="G49" s="5">
        <v>46052.19375</v>
      </c>
      <c r="H49" s="1">
        <v>299</v>
      </c>
      <c r="I49" s="1" t="s">
        <v>52</v>
      </c>
      <c r="J49" s="1" t="s">
        <v>50</v>
      </c>
      <c r="K49" s="1">
        <v>50</v>
      </c>
      <c r="L49" s="6">
        <f>IFERROR(HLOOKUP($I49,Reference!$B$1:$E$2,2,FALSE),0)</f>
        <v>0</v>
      </c>
      <c r="M49" s="7">
        <f t="shared" si="0"/>
        <v>46052</v>
      </c>
      <c r="N49" s="3" t="str">
        <f t="shared" si="1"/>
        <v>Regular</v>
      </c>
    </row>
    <row r="50" customHeight="1" spans="1:14">
      <c r="A50" s="1" t="s">
        <v>103</v>
      </c>
      <c r="B50" s="1">
        <v>14</v>
      </c>
      <c r="C50" s="1">
        <v>6</v>
      </c>
      <c r="D50" s="3" t="str">
        <f>IFERROR(VLOOKUP($C50,merchants!$A$1:$D$41,2,FALSE),"Merchant not found")</f>
        <v>Merchant_006</v>
      </c>
      <c r="E50" s="3" t="str">
        <f>IFERROR(VLOOKUP($C50,merchants!$A$1:$D$41,3,FALSE),"Merchant not found")</f>
        <v>food_delivery</v>
      </c>
      <c r="F50" s="3" t="str">
        <f>IFERROR(VLOOKUP($C50,merchants!$A$1:$D$41,4,FALSE),"Merchant not found")</f>
        <v>South</v>
      </c>
      <c r="G50" s="5">
        <v>46041.7791666667</v>
      </c>
      <c r="H50" s="1">
        <v>49</v>
      </c>
      <c r="I50" s="1" t="s">
        <v>49</v>
      </c>
      <c r="J50" s="1" t="s">
        <v>50</v>
      </c>
      <c r="K50" s="1">
        <v>82</v>
      </c>
      <c r="L50" s="6">
        <f>IFERROR(HLOOKUP($I50,Reference!$B$1:$E$2,2,FALSE),0)</f>
        <v>0.015</v>
      </c>
      <c r="M50" s="7">
        <f t="shared" si="0"/>
        <v>46041</v>
      </c>
      <c r="N50" s="3" t="str">
        <f t="shared" si="1"/>
        <v>Regular</v>
      </c>
    </row>
    <row r="51" customHeight="1" spans="1:14">
      <c r="A51" s="1" t="s">
        <v>104</v>
      </c>
      <c r="B51" s="1">
        <v>237</v>
      </c>
      <c r="C51" s="1">
        <v>12</v>
      </c>
      <c r="D51" s="3" t="str">
        <f>IFERROR(VLOOKUP($C51,merchants!$A$1:$D$41,2,FALSE),"Merchant not found")</f>
        <v>Merchant_012</v>
      </c>
      <c r="E51" s="3" t="str">
        <f>IFERROR(VLOOKUP($C51,merchants!$A$1:$D$41,3,FALSE),"Merchant not found")</f>
        <v>ecommerce</v>
      </c>
      <c r="F51" s="3" t="str">
        <f>IFERROR(VLOOKUP($C51,merchants!$A$1:$D$41,4,FALSE),"Merchant not found")</f>
        <v>East</v>
      </c>
      <c r="G51" s="5">
        <v>46036.2048611111</v>
      </c>
      <c r="H51" s="1">
        <v>49</v>
      </c>
      <c r="I51" s="1" t="s">
        <v>52</v>
      </c>
      <c r="J51" s="1" t="s">
        <v>50</v>
      </c>
      <c r="K51" s="1">
        <v>6</v>
      </c>
      <c r="L51" s="6">
        <f>IFERROR(HLOOKUP($I51,Reference!$B$1:$E$2,2,FALSE),0)</f>
        <v>0</v>
      </c>
      <c r="M51" s="7">
        <f t="shared" si="0"/>
        <v>46036</v>
      </c>
      <c r="N51" s="3" t="str">
        <f t="shared" si="1"/>
        <v>Regular</v>
      </c>
    </row>
    <row r="52" customHeight="1" spans="1:14">
      <c r="A52" s="1" t="s">
        <v>105</v>
      </c>
      <c r="B52" s="1">
        <v>109</v>
      </c>
      <c r="C52" s="1">
        <v>30</v>
      </c>
      <c r="D52" s="3" t="str">
        <f>IFERROR(VLOOKUP($C52,merchants!$A$1:$D$41,2,FALSE),"Merchant not found")</f>
        <v>Merchant_030</v>
      </c>
      <c r="E52" s="3" t="str">
        <f>IFERROR(VLOOKUP($C52,merchants!$A$1:$D$41,3,FALSE),"Merchant not found")</f>
        <v>travel</v>
      </c>
      <c r="F52" s="3" t="str">
        <f>IFERROR(VLOOKUP($C52,merchants!$A$1:$D$41,4,FALSE),"Merchant not found")</f>
        <v>West</v>
      </c>
      <c r="G52" s="5">
        <v>46031.5138888889</v>
      </c>
      <c r="H52" s="1">
        <v>99</v>
      </c>
      <c r="I52" s="1" t="s">
        <v>52</v>
      </c>
      <c r="J52" s="1" t="s">
        <v>50</v>
      </c>
      <c r="K52" s="1">
        <v>41</v>
      </c>
      <c r="L52" s="6">
        <f>IFERROR(HLOOKUP($I52,Reference!$B$1:$E$2,2,FALSE),0)</f>
        <v>0</v>
      </c>
      <c r="M52" s="7">
        <f t="shared" si="0"/>
        <v>46031</v>
      </c>
      <c r="N52" s="3" t="str">
        <f t="shared" si="1"/>
        <v>Regular</v>
      </c>
    </row>
    <row r="53" customHeight="1" spans="1:14">
      <c r="A53" s="1" t="s">
        <v>106</v>
      </c>
      <c r="B53" s="1">
        <v>216</v>
      </c>
      <c r="C53" s="1">
        <v>17</v>
      </c>
      <c r="D53" s="3" t="str">
        <f>IFERROR(VLOOKUP($C53,merchants!$A$1:$D$41,2,FALSE),"Merchant not found")</f>
        <v>Merchant_017</v>
      </c>
      <c r="E53" s="3" t="str">
        <f>IFERROR(VLOOKUP($C53,merchants!$A$1:$D$41,3,FALSE),"Merchant not found")</f>
        <v>grocery</v>
      </c>
      <c r="F53" s="3" t="str">
        <f>IFERROR(VLOOKUP($C53,merchants!$A$1:$D$41,4,FALSE),"Merchant not found")</f>
        <v>North</v>
      </c>
      <c r="G53" s="5">
        <v>46033.5118055556</v>
      </c>
      <c r="H53" s="1">
        <v>4999</v>
      </c>
      <c r="I53" s="1" t="s">
        <v>52</v>
      </c>
      <c r="J53" s="1" t="s">
        <v>50</v>
      </c>
      <c r="K53" s="1">
        <v>10</v>
      </c>
      <c r="L53" s="6">
        <f>IFERROR(HLOOKUP($I53,Reference!$B$1:$E$2,2,FALSE),0)</f>
        <v>0</v>
      </c>
      <c r="M53" s="7">
        <f t="shared" si="0"/>
        <v>46033</v>
      </c>
      <c r="N53" s="3" t="str">
        <f t="shared" si="1"/>
        <v>High-Value Merchant Day</v>
      </c>
    </row>
    <row r="54" customHeight="1" spans="1:14">
      <c r="A54" s="1" t="s">
        <v>107</v>
      </c>
      <c r="B54" s="1">
        <v>277</v>
      </c>
      <c r="C54" s="1">
        <v>4</v>
      </c>
      <c r="D54" s="3" t="str">
        <f>IFERROR(VLOOKUP($C54,merchants!$A$1:$D$41,2,FALSE),"Merchant not found")</f>
        <v>Merchant_004</v>
      </c>
      <c r="E54" s="3" t="str">
        <f>IFERROR(VLOOKUP($C54,merchants!$A$1:$D$41,3,FALSE),"Merchant not found")</f>
        <v>ecommerce</v>
      </c>
      <c r="F54" s="3" t="str">
        <f>IFERROR(VLOOKUP($C54,merchants!$A$1:$D$41,4,FALSE),"Merchant not found")</f>
        <v>East</v>
      </c>
      <c r="G54" s="5">
        <v>46038.0326388889</v>
      </c>
      <c r="H54" s="1">
        <v>799</v>
      </c>
      <c r="I54" s="1" t="s">
        <v>52</v>
      </c>
      <c r="J54" s="1" t="s">
        <v>50</v>
      </c>
      <c r="K54" s="1">
        <v>44</v>
      </c>
      <c r="L54" s="6">
        <f>IFERROR(HLOOKUP($I54,Reference!$B$1:$E$2,2,FALSE),0)</f>
        <v>0</v>
      </c>
      <c r="M54" s="7">
        <f t="shared" si="0"/>
        <v>46038</v>
      </c>
      <c r="N54" s="3" t="str">
        <f t="shared" si="1"/>
        <v>Regular</v>
      </c>
    </row>
    <row r="55" customHeight="1" spans="1:14">
      <c r="A55" s="1" t="s">
        <v>108</v>
      </c>
      <c r="B55" s="1">
        <v>334</v>
      </c>
      <c r="C55" s="1">
        <v>3</v>
      </c>
      <c r="D55" s="3" t="str">
        <f>IFERROR(VLOOKUP($C55,merchants!$A$1:$D$41,2,FALSE),"Merchant not found")</f>
        <v>Merchant_003</v>
      </c>
      <c r="E55" s="3" t="str">
        <f>IFERROR(VLOOKUP($C55,merchants!$A$1:$D$41,3,FALSE),"Merchant not found")</f>
        <v>grocery</v>
      </c>
      <c r="F55" s="3" t="str">
        <f>IFERROR(VLOOKUP($C55,merchants!$A$1:$D$41,4,FALSE),"Merchant not found")</f>
        <v>East</v>
      </c>
      <c r="G55" s="5">
        <v>46030.8361111111</v>
      </c>
      <c r="H55" s="1">
        <v>149</v>
      </c>
      <c r="I55" s="1" t="s">
        <v>49</v>
      </c>
      <c r="J55" s="1" t="s">
        <v>50</v>
      </c>
      <c r="K55" s="1">
        <v>96</v>
      </c>
      <c r="L55" s="6">
        <f>IFERROR(HLOOKUP($I55,Reference!$B$1:$E$2,2,FALSE),0)</f>
        <v>0.015</v>
      </c>
      <c r="M55" s="7">
        <f t="shared" si="0"/>
        <v>46030</v>
      </c>
      <c r="N55" s="3" t="str">
        <f t="shared" si="1"/>
        <v>Regular</v>
      </c>
    </row>
    <row r="56" customHeight="1" spans="1:14">
      <c r="A56" s="1" t="s">
        <v>109</v>
      </c>
      <c r="B56" s="1">
        <v>11</v>
      </c>
      <c r="C56" s="1">
        <v>40</v>
      </c>
      <c r="D56" s="3" t="str">
        <f>IFERROR(VLOOKUP($C56,merchants!$A$1:$D$41,2,FALSE),"Merchant not found")</f>
        <v>Merchant_040</v>
      </c>
      <c r="E56" s="3" t="str">
        <f>IFERROR(VLOOKUP($C56,merchants!$A$1:$D$41,3,FALSE),"Merchant not found")</f>
        <v>entertainment</v>
      </c>
      <c r="F56" s="3" t="str">
        <f>IFERROR(VLOOKUP($C56,merchants!$A$1:$D$41,4,FALSE),"Merchant not found")</f>
        <v>South</v>
      </c>
      <c r="G56" s="5">
        <v>46023.3</v>
      </c>
      <c r="H56" s="1">
        <v>299</v>
      </c>
      <c r="I56" s="1" t="s">
        <v>52</v>
      </c>
      <c r="J56" s="1" t="s">
        <v>50</v>
      </c>
      <c r="K56" s="1">
        <v>19</v>
      </c>
      <c r="L56" s="6">
        <f>IFERROR(HLOOKUP($I56,Reference!$B$1:$E$2,2,FALSE),0)</f>
        <v>0</v>
      </c>
      <c r="M56" s="7">
        <f t="shared" si="0"/>
        <v>46023</v>
      </c>
      <c r="N56" s="3" t="str">
        <f t="shared" si="1"/>
        <v>Regular</v>
      </c>
    </row>
    <row r="57" customHeight="1" spans="1:14">
      <c r="A57" s="1" t="s">
        <v>110</v>
      </c>
      <c r="B57" s="1">
        <v>343</v>
      </c>
      <c r="C57" s="1">
        <v>8</v>
      </c>
      <c r="D57" s="3" t="str">
        <f>IFERROR(VLOOKUP($C57,merchants!$A$1:$D$41,2,FALSE),"Merchant not found")</f>
        <v>Merchant_008</v>
      </c>
      <c r="E57" s="3" t="str">
        <f>IFERROR(VLOOKUP($C57,merchants!$A$1:$D$41,3,FALSE),"Merchant not found")</f>
        <v>food_delivery</v>
      </c>
      <c r="F57" s="3" t="str">
        <f>IFERROR(VLOOKUP($C57,merchants!$A$1:$D$41,4,FALSE),"Merchant not found")</f>
        <v>North</v>
      </c>
      <c r="G57" s="5">
        <v>46030.1875</v>
      </c>
      <c r="H57" s="1">
        <v>99</v>
      </c>
      <c r="I57" s="1" t="s">
        <v>52</v>
      </c>
      <c r="J57" s="1" t="s">
        <v>50</v>
      </c>
      <c r="K57" s="1">
        <v>72</v>
      </c>
      <c r="L57" s="6">
        <f>IFERROR(HLOOKUP($I57,Reference!$B$1:$E$2,2,FALSE),0)</f>
        <v>0</v>
      </c>
      <c r="M57" s="7">
        <f t="shared" si="0"/>
        <v>46030</v>
      </c>
      <c r="N57" s="3" t="str">
        <f t="shared" si="1"/>
        <v>Regular</v>
      </c>
    </row>
    <row r="58" customHeight="1" spans="1:14">
      <c r="A58" s="1" t="s">
        <v>111</v>
      </c>
      <c r="B58" s="1">
        <v>132</v>
      </c>
      <c r="C58" s="1">
        <v>24</v>
      </c>
      <c r="D58" s="3" t="str">
        <f>IFERROR(VLOOKUP($C58,merchants!$A$1:$D$41,2,FALSE),"Merchant not found")</f>
        <v>Merchant_024</v>
      </c>
      <c r="E58" s="3" t="str">
        <f>IFERROR(VLOOKUP($C58,merchants!$A$1:$D$41,3,FALSE),"Merchant not found")</f>
        <v>grocery</v>
      </c>
      <c r="F58" s="3" t="str">
        <f>IFERROR(VLOOKUP($C58,merchants!$A$1:$D$41,4,FALSE),"Merchant not found")</f>
        <v>North</v>
      </c>
      <c r="G58" s="5">
        <v>46029.6138888889</v>
      </c>
      <c r="H58" s="1">
        <v>299</v>
      </c>
      <c r="I58" s="1" t="s">
        <v>49</v>
      </c>
      <c r="J58" s="1" t="s">
        <v>50</v>
      </c>
      <c r="K58" s="1">
        <v>21</v>
      </c>
      <c r="L58" s="6">
        <f>IFERROR(HLOOKUP($I58,Reference!$B$1:$E$2,2,FALSE),0)</f>
        <v>0.015</v>
      </c>
      <c r="M58" s="7">
        <f t="shared" si="0"/>
        <v>46029</v>
      </c>
      <c r="N58" s="3" t="str">
        <f t="shared" si="1"/>
        <v>Regular</v>
      </c>
    </row>
    <row r="59" customHeight="1" spans="1:14">
      <c r="A59" s="1" t="s">
        <v>112</v>
      </c>
      <c r="B59" s="1">
        <v>59</v>
      </c>
      <c r="C59" s="1">
        <v>11</v>
      </c>
      <c r="D59" s="3" t="str">
        <f>IFERROR(VLOOKUP($C59,merchants!$A$1:$D$41,2,FALSE),"Merchant not found")</f>
        <v>Merchant_011</v>
      </c>
      <c r="E59" s="3" t="str">
        <f>IFERROR(VLOOKUP($C59,merchants!$A$1:$D$41,3,FALSE),"Merchant not found")</f>
        <v>ecommerce</v>
      </c>
      <c r="F59" s="3" t="str">
        <f>IFERROR(VLOOKUP($C59,merchants!$A$1:$D$41,4,FALSE),"Merchant not found")</f>
        <v>North</v>
      </c>
      <c r="G59" s="5">
        <v>46042.8243055556</v>
      </c>
      <c r="H59" s="1">
        <v>299</v>
      </c>
      <c r="I59" s="1" t="s">
        <v>52</v>
      </c>
      <c r="J59" s="1" t="s">
        <v>50</v>
      </c>
      <c r="K59" s="1">
        <v>39</v>
      </c>
      <c r="L59" s="6">
        <f>IFERROR(HLOOKUP($I59,Reference!$B$1:$E$2,2,FALSE),0)</f>
        <v>0</v>
      </c>
      <c r="M59" s="7">
        <f t="shared" si="0"/>
        <v>46042</v>
      </c>
      <c r="N59" s="3" t="str">
        <f t="shared" si="1"/>
        <v>Regular</v>
      </c>
    </row>
    <row r="60" customHeight="1" spans="1:14">
      <c r="A60" s="1" t="s">
        <v>113</v>
      </c>
      <c r="B60" s="1">
        <v>160</v>
      </c>
      <c r="C60" s="1">
        <v>37</v>
      </c>
      <c r="D60" s="3" t="str">
        <f>IFERROR(VLOOKUP($C60,merchants!$A$1:$D$41,2,FALSE),"Merchant not found")</f>
        <v>Merchant_037</v>
      </c>
      <c r="E60" s="3" t="str">
        <f>IFERROR(VLOOKUP($C60,merchants!$A$1:$D$41,3,FALSE),"Merchant not found")</f>
        <v>entertainment</v>
      </c>
      <c r="F60" s="3" t="str">
        <f>IFERROR(VLOOKUP($C60,merchants!$A$1:$D$41,4,FALSE),"Merchant not found")</f>
        <v>South</v>
      </c>
      <c r="G60" s="5">
        <v>46026.7506944444</v>
      </c>
      <c r="H60" s="1">
        <v>49</v>
      </c>
      <c r="I60" s="1" t="s">
        <v>49</v>
      </c>
      <c r="J60" s="1" t="s">
        <v>50</v>
      </c>
      <c r="K60" s="1">
        <v>86</v>
      </c>
      <c r="L60" s="6">
        <f>IFERROR(HLOOKUP($I60,Reference!$B$1:$E$2,2,FALSE),0)</f>
        <v>0.015</v>
      </c>
      <c r="M60" s="7">
        <f t="shared" si="0"/>
        <v>46026</v>
      </c>
      <c r="N60" s="3" t="str">
        <f t="shared" si="1"/>
        <v>Regular</v>
      </c>
    </row>
    <row r="61" customHeight="1" spans="1:14">
      <c r="A61" s="1" t="s">
        <v>114</v>
      </c>
      <c r="B61" s="1">
        <v>102</v>
      </c>
      <c r="C61" s="1">
        <v>5</v>
      </c>
      <c r="D61" s="3" t="str">
        <f>IFERROR(VLOOKUP($C61,merchants!$A$1:$D$41,2,FALSE),"Merchant not found")</f>
        <v>Merchant_005</v>
      </c>
      <c r="E61" s="3" t="str">
        <f>IFERROR(VLOOKUP($C61,merchants!$A$1:$D$41,3,FALSE),"Merchant not found")</f>
        <v>recharge</v>
      </c>
      <c r="F61" s="3" t="str">
        <f>IFERROR(VLOOKUP($C61,merchants!$A$1:$D$41,4,FALSE),"Merchant not found")</f>
        <v>South</v>
      </c>
      <c r="G61" s="5">
        <v>46052.5173611111</v>
      </c>
      <c r="H61" s="1">
        <v>2999</v>
      </c>
      <c r="I61" s="1" t="s">
        <v>52</v>
      </c>
      <c r="J61" s="1" t="s">
        <v>50</v>
      </c>
      <c r="K61" s="1">
        <v>75</v>
      </c>
      <c r="L61" s="6">
        <f>IFERROR(HLOOKUP($I61,Reference!$B$1:$E$2,2,FALSE),0)</f>
        <v>0</v>
      </c>
      <c r="M61" s="7">
        <f t="shared" si="0"/>
        <v>46052</v>
      </c>
      <c r="N61" s="3" t="str">
        <f t="shared" si="1"/>
        <v>Regular</v>
      </c>
    </row>
    <row r="62" customHeight="1" spans="1:14">
      <c r="A62" s="1" t="s">
        <v>115</v>
      </c>
      <c r="B62" s="1">
        <v>53</v>
      </c>
      <c r="C62" s="1">
        <v>20</v>
      </c>
      <c r="D62" s="3" t="str">
        <f>IFERROR(VLOOKUP($C62,merchants!$A$1:$D$41,2,FALSE),"Merchant not found")</f>
        <v>Merchant_020</v>
      </c>
      <c r="E62" s="3" t="str">
        <f>IFERROR(VLOOKUP($C62,merchants!$A$1:$D$41,3,FALSE),"Merchant not found")</f>
        <v>food_delivery</v>
      </c>
      <c r="F62" s="3" t="str">
        <f>IFERROR(VLOOKUP($C62,merchants!$A$1:$D$41,4,FALSE),"Merchant not found")</f>
        <v>East</v>
      </c>
      <c r="G62" s="5">
        <v>46045.84375</v>
      </c>
      <c r="H62" s="1">
        <v>49</v>
      </c>
      <c r="I62" s="1" t="s">
        <v>55</v>
      </c>
      <c r="J62" s="1" t="s">
        <v>50</v>
      </c>
      <c r="K62" s="1">
        <v>87</v>
      </c>
      <c r="L62" s="6">
        <f>IFERROR(HLOOKUP($I62,Reference!$B$1:$E$2,2,FALSE),0)</f>
        <v>0.01</v>
      </c>
      <c r="M62" s="7">
        <f t="shared" si="0"/>
        <v>46045</v>
      </c>
      <c r="N62" s="3" t="str">
        <f t="shared" si="1"/>
        <v>Regular</v>
      </c>
    </row>
    <row r="63" customHeight="1" spans="1:14">
      <c r="A63" s="1" t="s">
        <v>116</v>
      </c>
      <c r="B63" s="1">
        <v>290</v>
      </c>
      <c r="C63" s="1">
        <v>3</v>
      </c>
      <c r="D63" s="3" t="str">
        <f>IFERROR(VLOOKUP($C63,merchants!$A$1:$D$41,2,FALSE),"Merchant not found")</f>
        <v>Merchant_003</v>
      </c>
      <c r="E63" s="3" t="str">
        <f>IFERROR(VLOOKUP($C63,merchants!$A$1:$D$41,3,FALSE),"Merchant not found")</f>
        <v>grocery</v>
      </c>
      <c r="F63" s="3" t="str">
        <f>IFERROR(VLOOKUP($C63,merchants!$A$1:$D$41,4,FALSE),"Merchant not found")</f>
        <v>East</v>
      </c>
      <c r="G63" s="5">
        <v>46042.1597222222</v>
      </c>
      <c r="H63" s="1">
        <v>99</v>
      </c>
      <c r="I63" s="1" t="s">
        <v>49</v>
      </c>
      <c r="J63" s="1" t="s">
        <v>50</v>
      </c>
      <c r="K63" s="1">
        <v>44</v>
      </c>
      <c r="L63" s="6">
        <f>IFERROR(HLOOKUP($I63,Reference!$B$1:$E$2,2,FALSE),0)</f>
        <v>0.015</v>
      </c>
      <c r="M63" s="7">
        <f t="shared" si="0"/>
        <v>46042</v>
      </c>
      <c r="N63" s="3" t="str">
        <f t="shared" si="1"/>
        <v>Regular</v>
      </c>
    </row>
    <row r="64" customHeight="1" spans="1:14">
      <c r="A64" s="1" t="s">
        <v>117</v>
      </c>
      <c r="B64" s="1">
        <v>190</v>
      </c>
      <c r="C64" s="1">
        <v>5</v>
      </c>
      <c r="D64" s="3" t="str">
        <f>IFERROR(VLOOKUP($C64,merchants!$A$1:$D$41,2,FALSE),"Merchant not found")</f>
        <v>Merchant_005</v>
      </c>
      <c r="E64" s="3" t="str">
        <f>IFERROR(VLOOKUP($C64,merchants!$A$1:$D$41,3,FALSE),"Merchant not found")</f>
        <v>recharge</v>
      </c>
      <c r="F64" s="3" t="str">
        <f>IFERROR(VLOOKUP($C64,merchants!$A$1:$D$41,4,FALSE),"Merchant not found")</f>
        <v>South</v>
      </c>
      <c r="G64" s="5">
        <v>46040.5708333333</v>
      </c>
      <c r="H64" s="1">
        <v>299</v>
      </c>
      <c r="I64" s="1" t="s">
        <v>52</v>
      </c>
      <c r="J64" s="1" t="s">
        <v>50</v>
      </c>
      <c r="K64" s="1">
        <v>64</v>
      </c>
      <c r="L64" s="6">
        <f>IFERROR(HLOOKUP($I64,Reference!$B$1:$E$2,2,FALSE),0)</f>
        <v>0</v>
      </c>
      <c r="M64" s="7">
        <f t="shared" si="0"/>
        <v>46040</v>
      </c>
      <c r="N64" s="3" t="str">
        <f t="shared" si="1"/>
        <v>Regular</v>
      </c>
    </row>
    <row r="65" customHeight="1" spans="1:14">
      <c r="A65" s="1" t="s">
        <v>118</v>
      </c>
      <c r="B65" s="1">
        <v>216</v>
      </c>
      <c r="C65" s="1">
        <v>32</v>
      </c>
      <c r="D65" s="3" t="str">
        <f>IFERROR(VLOOKUP($C65,merchants!$A$1:$D$41,2,FALSE),"Merchant not found")</f>
        <v>Merchant_032</v>
      </c>
      <c r="E65" s="3" t="str">
        <f>IFERROR(VLOOKUP($C65,merchants!$A$1:$D$41,3,FALSE),"Merchant not found")</f>
        <v>food_delivery</v>
      </c>
      <c r="F65" s="3" t="str">
        <f>IFERROR(VLOOKUP($C65,merchants!$A$1:$D$41,4,FALSE),"Merchant not found")</f>
        <v>West</v>
      </c>
      <c r="G65" s="5">
        <v>46043.4166666667</v>
      </c>
      <c r="H65" s="1">
        <v>49</v>
      </c>
      <c r="I65" s="1" t="s">
        <v>64</v>
      </c>
      <c r="J65" s="1" t="s">
        <v>50</v>
      </c>
      <c r="K65" s="1">
        <v>13</v>
      </c>
      <c r="L65" s="6">
        <f>IFERROR(HLOOKUP($I65,Reference!$B$1:$E$2,2,FALSE),0)</f>
        <v>0.02</v>
      </c>
      <c r="M65" s="7">
        <f t="shared" si="0"/>
        <v>46043</v>
      </c>
      <c r="N65" s="3" t="str">
        <f t="shared" si="1"/>
        <v>Regular</v>
      </c>
    </row>
    <row r="66" customHeight="1" spans="1:14">
      <c r="A66" s="1" t="s">
        <v>119</v>
      </c>
      <c r="B66" s="1">
        <v>236</v>
      </c>
      <c r="C66" s="1">
        <v>10</v>
      </c>
      <c r="D66" s="3" t="str">
        <f>IFERROR(VLOOKUP($C66,merchants!$A$1:$D$41,2,FALSE),"Merchant not found")</f>
        <v>Merchant_010</v>
      </c>
      <c r="E66" s="3" t="str">
        <f>IFERROR(VLOOKUP($C66,merchants!$A$1:$D$41,3,FALSE),"Merchant not found")</f>
        <v>grocery</v>
      </c>
      <c r="F66" s="3" t="str">
        <f>IFERROR(VLOOKUP($C66,merchants!$A$1:$D$41,4,FALSE),"Merchant not found")</f>
        <v>West</v>
      </c>
      <c r="G66" s="5">
        <v>46036.4861111111</v>
      </c>
      <c r="H66" s="1">
        <v>499</v>
      </c>
      <c r="I66" s="1" t="s">
        <v>52</v>
      </c>
      <c r="J66" s="1" t="s">
        <v>50</v>
      </c>
      <c r="K66" s="1">
        <v>55</v>
      </c>
      <c r="L66" s="6">
        <f>IFERROR(HLOOKUP($I66,Reference!$B$1:$E$2,2,FALSE),0)</f>
        <v>0</v>
      </c>
      <c r="M66" s="7">
        <f t="shared" si="0"/>
        <v>46036</v>
      </c>
      <c r="N66" s="3" t="str">
        <f t="shared" si="1"/>
        <v>Regular</v>
      </c>
    </row>
    <row r="67" customHeight="1" spans="1:14">
      <c r="A67" s="1" t="s">
        <v>120</v>
      </c>
      <c r="B67" s="1">
        <v>334</v>
      </c>
      <c r="C67" s="1">
        <v>18</v>
      </c>
      <c r="D67" s="3" t="str">
        <f>IFERROR(VLOOKUP($C67,merchants!$A$1:$D$41,2,FALSE),"Merchant not found")</f>
        <v>Merchant_018</v>
      </c>
      <c r="E67" s="3" t="str">
        <f>IFERROR(VLOOKUP($C67,merchants!$A$1:$D$41,3,FALSE),"Merchant not found")</f>
        <v>grocery</v>
      </c>
      <c r="F67" s="3" t="str">
        <f>IFERROR(VLOOKUP($C67,merchants!$A$1:$D$41,4,FALSE),"Merchant not found")</f>
        <v>West</v>
      </c>
      <c r="G67" s="5">
        <v>46028.98125</v>
      </c>
      <c r="H67" s="1">
        <v>499</v>
      </c>
      <c r="I67" s="1" t="s">
        <v>64</v>
      </c>
      <c r="J67" s="1" t="s">
        <v>50</v>
      </c>
      <c r="K67" s="1">
        <v>78</v>
      </c>
      <c r="L67" s="6">
        <f>IFERROR(HLOOKUP($I67,Reference!$B$1:$E$2,2,FALSE),0)</f>
        <v>0.02</v>
      </c>
      <c r="M67" s="7">
        <f t="shared" si="0"/>
        <v>46028</v>
      </c>
      <c r="N67" s="3" t="str">
        <f t="shared" si="1"/>
        <v>Regular</v>
      </c>
    </row>
    <row r="68" customHeight="1" spans="1:14">
      <c r="A68" s="1" t="s">
        <v>121</v>
      </c>
      <c r="B68" s="1">
        <v>248</v>
      </c>
      <c r="C68" s="1">
        <v>30</v>
      </c>
      <c r="D68" s="3" t="str">
        <f>IFERROR(VLOOKUP($C68,merchants!$A$1:$D$41,2,FALSE),"Merchant not found")</f>
        <v>Merchant_030</v>
      </c>
      <c r="E68" s="3" t="str">
        <f>IFERROR(VLOOKUP($C68,merchants!$A$1:$D$41,3,FALSE),"Merchant not found")</f>
        <v>travel</v>
      </c>
      <c r="F68" s="3" t="str">
        <f>IFERROR(VLOOKUP($C68,merchants!$A$1:$D$41,4,FALSE),"Merchant not found")</f>
        <v>West</v>
      </c>
      <c r="G68" s="5">
        <v>46048.7423611111</v>
      </c>
      <c r="H68" s="1">
        <v>799</v>
      </c>
      <c r="I68" s="1" t="s">
        <v>49</v>
      </c>
      <c r="J68" s="1" t="s">
        <v>50</v>
      </c>
      <c r="K68" s="1">
        <v>55</v>
      </c>
      <c r="L68" s="6">
        <f>IFERROR(HLOOKUP($I68,Reference!$B$1:$E$2,2,FALSE),0)</f>
        <v>0.015</v>
      </c>
      <c r="M68" s="7">
        <f t="shared" si="0"/>
        <v>46048</v>
      </c>
      <c r="N68" s="3" t="str">
        <f t="shared" si="1"/>
        <v>Regular</v>
      </c>
    </row>
    <row r="69" customHeight="1" spans="1:14">
      <c r="A69" s="1" t="s">
        <v>122</v>
      </c>
      <c r="B69" s="1">
        <v>138</v>
      </c>
      <c r="C69" s="1">
        <v>21</v>
      </c>
      <c r="D69" s="3" t="str">
        <f>IFERROR(VLOOKUP($C69,merchants!$A$1:$D$41,2,FALSE),"Merchant not found")</f>
        <v>Merchant_021</v>
      </c>
      <c r="E69" s="3" t="str">
        <f>IFERROR(VLOOKUP($C69,merchants!$A$1:$D$41,3,FALSE),"Merchant not found")</f>
        <v>food_delivery</v>
      </c>
      <c r="F69" s="3" t="str">
        <f>IFERROR(VLOOKUP($C69,merchants!$A$1:$D$41,4,FALSE),"Merchant not found")</f>
        <v>East</v>
      </c>
      <c r="G69" s="5">
        <v>46049.9840277778</v>
      </c>
      <c r="H69" s="1">
        <v>49</v>
      </c>
      <c r="I69" s="1" t="s">
        <v>64</v>
      </c>
      <c r="J69" s="1" t="s">
        <v>50</v>
      </c>
      <c r="K69" s="1">
        <v>31</v>
      </c>
      <c r="L69" s="6">
        <f>IFERROR(HLOOKUP($I69,Reference!$B$1:$E$2,2,FALSE),0)</f>
        <v>0.02</v>
      </c>
      <c r="M69" s="7">
        <f t="shared" si="0"/>
        <v>46049</v>
      </c>
      <c r="N69" s="3" t="str">
        <f t="shared" si="1"/>
        <v>Regular</v>
      </c>
    </row>
    <row r="70" customHeight="1" spans="1:14">
      <c r="A70" s="1" t="s">
        <v>123</v>
      </c>
      <c r="B70" s="1">
        <v>231</v>
      </c>
      <c r="C70" s="1">
        <v>16</v>
      </c>
      <c r="D70" s="3" t="str">
        <f>IFERROR(VLOOKUP($C70,merchants!$A$1:$D$41,2,FALSE),"Merchant not found")</f>
        <v>Merchant_016</v>
      </c>
      <c r="E70" s="3" t="str">
        <f>IFERROR(VLOOKUP($C70,merchants!$A$1:$D$41,3,FALSE),"Merchant not found")</f>
        <v>bill_payment</v>
      </c>
      <c r="F70" s="3" t="str">
        <f>IFERROR(VLOOKUP($C70,merchants!$A$1:$D$41,4,FALSE),"Merchant not found")</f>
        <v>West</v>
      </c>
      <c r="G70" s="5">
        <v>46049.0951388889</v>
      </c>
      <c r="H70" s="1">
        <v>49</v>
      </c>
      <c r="I70" s="1" t="s">
        <v>52</v>
      </c>
      <c r="J70" s="1" t="s">
        <v>50</v>
      </c>
      <c r="K70" s="1">
        <v>96</v>
      </c>
      <c r="L70" s="6">
        <f>IFERROR(HLOOKUP($I70,Reference!$B$1:$E$2,2,FALSE),0)</f>
        <v>0</v>
      </c>
      <c r="M70" s="7">
        <f t="shared" si="0"/>
        <v>46049</v>
      </c>
      <c r="N70" s="3" t="str">
        <f t="shared" si="1"/>
        <v>Regular</v>
      </c>
    </row>
    <row r="71" customHeight="1" spans="1:14">
      <c r="A71" s="1" t="s">
        <v>124</v>
      </c>
      <c r="B71" s="1">
        <v>343</v>
      </c>
      <c r="C71" s="1">
        <v>25</v>
      </c>
      <c r="D71" s="3" t="str">
        <f>IFERROR(VLOOKUP($C71,merchants!$A$1:$D$41,2,FALSE),"Merchant not found")</f>
        <v>Merchant_025</v>
      </c>
      <c r="E71" s="3" t="str">
        <f>IFERROR(VLOOKUP($C71,merchants!$A$1:$D$41,3,FALSE),"Merchant not found")</f>
        <v>travel</v>
      </c>
      <c r="F71" s="3" t="str">
        <f>IFERROR(VLOOKUP($C71,merchants!$A$1:$D$41,4,FALSE),"Merchant not found")</f>
        <v>South</v>
      </c>
      <c r="G71" s="5">
        <v>46037.7770833333</v>
      </c>
      <c r="H71" s="1">
        <v>49</v>
      </c>
      <c r="I71" s="1" t="s">
        <v>52</v>
      </c>
      <c r="J71" s="1" t="s">
        <v>50</v>
      </c>
      <c r="K71" s="1">
        <v>43</v>
      </c>
      <c r="L71" s="6">
        <f>IFERROR(HLOOKUP($I71,Reference!$B$1:$E$2,2,FALSE),0)</f>
        <v>0</v>
      </c>
      <c r="M71" s="7">
        <f t="shared" si="0"/>
        <v>46037</v>
      </c>
      <c r="N71" s="3" t="str">
        <f t="shared" si="1"/>
        <v>Regular</v>
      </c>
    </row>
    <row r="72" customHeight="1" spans="1:14">
      <c r="A72" s="1" t="s">
        <v>125</v>
      </c>
      <c r="B72" s="1">
        <v>167</v>
      </c>
      <c r="C72" s="1">
        <v>12</v>
      </c>
      <c r="D72" s="3" t="str">
        <f>IFERROR(VLOOKUP($C72,merchants!$A$1:$D$41,2,FALSE),"Merchant not found")</f>
        <v>Merchant_012</v>
      </c>
      <c r="E72" s="3" t="str">
        <f>IFERROR(VLOOKUP($C72,merchants!$A$1:$D$41,3,FALSE),"Merchant not found")</f>
        <v>ecommerce</v>
      </c>
      <c r="F72" s="3" t="str">
        <f>IFERROR(VLOOKUP($C72,merchants!$A$1:$D$41,4,FALSE),"Merchant not found")</f>
        <v>East</v>
      </c>
      <c r="G72" s="5">
        <v>46023.6625</v>
      </c>
      <c r="H72" s="1">
        <v>499</v>
      </c>
      <c r="I72" s="1" t="s">
        <v>49</v>
      </c>
      <c r="J72" s="1" t="s">
        <v>50</v>
      </c>
      <c r="K72" s="1">
        <v>62</v>
      </c>
      <c r="L72" s="6">
        <f>IFERROR(HLOOKUP($I72,Reference!$B$1:$E$2,2,FALSE),0)</f>
        <v>0.015</v>
      </c>
      <c r="M72" s="7">
        <f t="shared" si="0"/>
        <v>46023</v>
      </c>
      <c r="N72" s="3" t="str">
        <f t="shared" si="1"/>
        <v>Regular</v>
      </c>
    </row>
    <row r="73" customHeight="1" spans="1:14">
      <c r="A73" s="1" t="s">
        <v>126</v>
      </c>
      <c r="B73" s="1">
        <v>133</v>
      </c>
      <c r="C73" s="1">
        <v>22</v>
      </c>
      <c r="D73" s="3" t="str">
        <f>IFERROR(VLOOKUP($C73,merchants!$A$1:$D$41,2,FALSE),"Merchant not found")</f>
        <v>Merchant_022</v>
      </c>
      <c r="E73" s="3" t="str">
        <f>IFERROR(VLOOKUP($C73,merchants!$A$1:$D$41,3,FALSE),"Merchant not found")</f>
        <v>travel</v>
      </c>
      <c r="F73" s="3" t="str">
        <f>IFERROR(VLOOKUP($C73,merchants!$A$1:$D$41,4,FALSE),"Merchant not found")</f>
        <v>South</v>
      </c>
      <c r="G73" s="5">
        <v>46029.49375</v>
      </c>
      <c r="H73" s="1">
        <v>499</v>
      </c>
      <c r="I73" s="1" t="s">
        <v>52</v>
      </c>
      <c r="J73" s="1" t="s">
        <v>50</v>
      </c>
      <c r="K73" s="1">
        <v>35</v>
      </c>
      <c r="L73" s="6">
        <f>IFERROR(HLOOKUP($I73,Reference!$B$1:$E$2,2,FALSE),0)</f>
        <v>0</v>
      </c>
      <c r="M73" s="7">
        <f t="shared" si="0"/>
        <v>46029</v>
      </c>
      <c r="N73" s="3" t="str">
        <f t="shared" si="1"/>
        <v>Regular</v>
      </c>
    </row>
    <row r="74" customHeight="1" spans="1:14">
      <c r="A74" s="1" t="s">
        <v>127</v>
      </c>
      <c r="B74" s="1">
        <v>142</v>
      </c>
      <c r="C74" s="1">
        <v>36</v>
      </c>
      <c r="D74" s="3" t="str">
        <f>IFERROR(VLOOKUP($C74,merchants!$A$1:$D$41,2,FALSE),"Merchant not found")</f>
        <v>Merchant_036</v>
      </c>
      <c r="E74" s="3" t="str">
        <f>IFERROR(VLOOKUP($C74,merchants!$A$1:$D$41,3,FALSE),"Merchant not found")</f>
        <v>entertainment</v>
      </c>
      <c r="F74" s="3" t="str">
        <f>IFERROR(VLOOKUP($C74,merchants!$A$1:$D$41,4,FALSE),"Merchant not found")</f>
        <v>East</v>
      </c>
      <c r="G74" s="5">
        <v>46051.8222222222</v>
      </c>
      <c r="H74" s="1">
        <v>799</v>
      </c>
      <c r="I74" s="1" t="s">
        <v>49</v>
      </c>
      <c r="J74" s="1" t="s">
        <v>50</v>
      </c>
      <c r="K74" s="1">
        <v>1</v>
      </c>
      <c r="L74" s="6">
        <f>IFERROR(HLOOKUP($I74,Reference!$B$1:$E$2,2,FALSE),0)</f>
        <v>0.015</v>
      </c>
      <c r="M74" s="7">
        <f t="shared" si="0"/>
        <v>46051</v>
      </c>
      <c r="N74" s="3" t="str">
        <f t="shared" si="1"/>
        <v>Regular</v>
      </c>
    </row>
    <row r="75" customHeight="1" spans="1:14">
      <c r="A75" s="1" t="s">
        <v>128</v>
      </c>
      <c r="B75" s="1">
        <v>124</v>
      </c>
      <c r="C75" s="1">
        <v>27</v>
      </c>
      <c r="D75" s="3" t="str">
        <f>IFERROR(VLOOKUP($C75,merchants!$A$1:$D$41,2,FALSE),"Merchant not found")</f>
        <v>Merchant_027</v>
      </c>
      <c r="E75" s="3" t="str">
        <f>IFERROR(VLOOKUP($C75,merchants!$A$1:$D$41,3,FALSE),"Merchant not found")</f>
        <v>ecommerce</v>
      </c>
      <c r="F75" s="3" t="str">
        <f>IFERROR(VLOOKUP($C75,merchants!$A$1:$D$41,4,FALSE),"Merchant not found")</f>
        <v>North</v>
      </c>
      <c r="G75" s="5">
        <v>46039.2534722222</v>
      </c>
      <c r="H75" s="1">
        <v>499</v>
      </c>
      <c r="I75" s="1" t="s">
        <v>49</v>
      </c>
      <c r="J75" s="1" t="s">
        <v>50</v>
      </c>
      <c r="K75" s="1">
        <v>62</v>
      </c>
      <c r="L75" s="6">
        <f>IFERROR(HLOOKUP($I75,Reference!$B$1:$E$2,2,FALSE),0)</f>
        <v>0.015</v>
      </c>
      <c r="M75" s="7">
        <f t="shared" si="0"/>
        <v>46039</v>
      </c>
      <c r="N75" s="3" t="str">
        <f t="shared" si="1"/>
        <v>Regular</v>
      </c>
    </row>
    <row r="76" customHeight="1" spans="1:14">
      <c r="A76" s="1" t="s">
        <v>129</v>
      </c>
      <c r="B76" s="1">
        <v>244</v>
      </c>
      <c r="C76" s="1">
        <v>32</v>
      </c>
      <c r="D76" s="3" t="str">
        <f>IFERROR(VLOOKUP($C76,merchants!$A$1:$D$41,2,FALSE),"Merchant not found")</f>
        <v>Merchant_032</v>
      </c>
      <c r="E76" s="3" t="str">
        <f>IFERROR(VLOOKUP($C76,merchants!$A$1:$D$41,3,FALSE),"Merchant not found")</f>
        <v>food_delivery</v>
      </c>
      <c r="F76" s="3" t="str">
        <f>IFERROR(VLOOKUP($C76,merchants!$A$1:$D$41,4,FALSE),"Merchant not found")</f>
        <v>West</v>
      </c>
      <c r="G76" s="5">
        <v>46040.3222222222</v>
      </c>
      <c r="H76" s="1">
        <v>149</v>
      </c>
      <c r="I76" s="1" t="s">
        <v>52</v>
      </c>
      <c r="J76" s="1" t="s">
        <v>50</v>
      </c>
      <c r="K76" s="1">
        <v>57</v>
      </c>
      <c r="L76" s="6">
        <f>IFERROR(HLOOKUP($I76,Reference!$B$1:$E$2,2,FALSE),0)</f>
        <v>0</v>
      </c>
      <c r="M76" s="7">
        <f t="shared" si="0"/>
        <v>46040</v>
      </c>
      <c r="N76" s="3" t="str">
        <f t="shared" si="1"/>
        <v>Regular</v>
      </c>
    </row>
    <row r="77" customHeight="1" spans="1:14">
      <c r="A77" s="1" t="s">
        <v>130</v>
      </c>
      <c r="B77" s="1">
        <v>151</v>
      </c>
      <c r="C77" s="1">
        <v>15</v>
      </c>
      <c r="D77" s="3" t="str">
        <f>IFERROR(VLOOKUP($C77,merchants!$A$1:$D$41,2,FALSE),"Merchant not found")</f>
        <v>Merchant_015</v>
      </c>
      <c r="E77" s="3" t="str">
        <f>IFERROR(VLOOKUP($C77,merchants!$A$1:$D$41,3,FALSE),"Merchant not found")</f>
        <v>travel</v>
      </c>
      <c r="F77" s="3" t="str">
        <f>IFERROR(VLOOKUP($C77,merchants!$A$1:$D$41,4,FALSE),"Merchant not found")</f>
        <v>North</v>
      </c>
      <c r="G77" s="5">
        <v>46048.0034722222</v>
      </c>
      <c r="H77" s="1">
        <v>4999</v>
      </c>
      <c r="I77" s="1" t="s">
        <v>52</v>
      </c>
      <c r="J77" s="1" t="s">
        <v>50</v>
      </c>
      <c r="K77" s="1">
        <v>51</v>
      </c>
      <c r="L77" s="6">
        <f>IFERROR(HLOOKUP($I77,Reference!$B$1:$E$2,2,FALSE),0)</f>
        <v>0</v>
      </c>
      <c r="M77" s="7">
        <f t="shared" si="0"/>
        <v>46048</v>
      </c>
      <c r="N77" s="3" t="str">
        <f t="shared" si="1"/>
        <v>Regular</v>
      </c>
    </row>
    <row r="78" customHeight="1" spans="1:14">
      <c r="A78" s="1" t="s">
        <v>131</v>
      </c>
      <c r="B78" s="1">
        <v>340</v>
      </c>
      <c r="C78" s="1">
        <v>38</v>
      </c>
      <c r="D78" s="3" t="str">
        <f>IFERROR(VLOOKUP($C78,merchants!$A$1:$D$41,2,FALSE),"Merchant not found")</f>
        <v>Merchant_038</v>
      </c>
      <c r="E78" s="3" t="str">
        <f>IFERROR(VLOOKUP($C78,merchants!$A$1:$D$41,3,FALSE),"Merchant not found")</f>
        <v>grocery</v>
      </c>
      <c r="F78" s="3" t="str">
        <f>IFERROR(VLOOKUP($C78,merchants!$A$1:$D$41,4,FALSE),"Merchant not found")</f>
        <v>East</v>
      </c>
      <c r="G78" s="5">
        <v>46045.3048611111</v>
      </c>
      <c r="H78" s="1">
        <v>499</v>
      </c>
      <c r="I78" s="1" t="s">
        <v>64</v>
      </c>
      <c r="J78" s="1" t="s">
        <v>50</v>
      </c>
      <c r="K78" s="1">
        <v>47</v>
      </c>
      <c r="L78" s="6">
        <f>IFERROR(HLOOKUP($I78,Reference!$B$1:$E$2,2,FALSE),0)</f>
        <v>0.02</v>
      </c>
      <c r="M78" s="7">
        <f t="shared" si="0"/>
        <v>46045</v>
      </c>
      <c r="N78" s="3" t="str">
        <f t="shared" si="1"/>
        <v>Regular</v>
      </c>
    </row>
    <row r="79" customHeight="1" spans="1:14">
      <c r="A79" s="1" t="s">
        <v>132</v>
      </c>
      <c r="B79" s="1">
        <v>177</v>
      </c>
      <c r="C79" s="1">
        <v>28</v>
      </c>
      <c r="D79" s="3" t="str">
        <f>IFERROR(VLOOKUP($C79,merchants!$A$1:$D$41,2,FALSE),"Merchant not found")</f>
        <v>Merchant_028</v>
      </c>
      <c r="E79" s="3" t="str">
        <f>IFERROR(VLOOKUP($C79,merchants!$A$1:$D$41,3,FALSE),"Merchant not found")</f>
        <v>ecommerce</v>
      </c>
      <c r="F79" s="3" t="str">
        <f>IFERROR(VLOOKUP($C79,merchants!$A$1:$D$41,4,FALSE),"Merchant not found")</f>
        <v>South</v>
      </c>
      <c r="G79" s="5">
        <v>46038.73125</v>
      </c>
      <c r="H79" s="1">
        <v>299</v>
      </c>
      <c r="I79" s="1" t="s">
        <v>52</v>
      </c>
      <c r="J79" s="1" t="s">
        <v>50</v>
      </c>
      <c r="K79" s="1">
        <v>95</v>
      </c>
      <c r="L79" s="6">
        <f>IFERROR(HLOOKUP($I79,Reference!$B$1:$E$2,2,FALSE),0)</f>
        <v>0</v>
      </c>
      <c r="M79" s="7">
        <f t="shared" si="0"/>
        <v>46038</v>
      </c>
      <c r="N79" s="3" t="str">
        <f t="shared" si="1"/>
        <v>Regular</v>
      </c>
    </row>
    <row r="80" customHeight="1" spans="1:14">
      <c r="A80" s="1" t="s">
        <v>133</v>
      </c>
      <c r="B80" s="1">
        <v>233</v>
      </c>
      <c r="C80" s="1">
        <v>18</v>
      </c>
      <c r="D80" s="3" t="str">
        <f>IFERROR(VLOOKUP($C80,merchants!$A$1:$D$41,2,FALSE),"Merchant not found")</f>
        <v>Merchant_018</v>
      </c>
      <c r="E80" s="3" t="str">
        <f>IFERROR(VLOOKUP($C80,merchants!$A$1:$D$41,3,FALSE),"Merchant not found")</f>
        <v>grocery</v>
      </c>
      <c r="F80" s="3" t="str">
        <f>IFERROR(VLOOKUP($C80,merchants!$A$1:$D$41,4,FALSE),"Merchant not found")</f>
        <v>West</v>
      </c>
      <c r="G80" s="5">
        <v>46040.4319444444</v>
      </c>
      <c r="H80" s="1">
        <v>499</v>
      </c>
      <c r="I80" s="1" t="s">
        <v>52</v>
      </c>
      <c r="J80" s="1" t="s">
        <v>50</v>
      </c>
      <c r="K80" s="1">
        <v>39</v>
      </c>
      <c r="L80" s="6">
        <f>IFERROR(HLOOKUP($I80,Reference!$B$1:$E$2,2,FALSE),0)</f>
        <v>0</v>
      </c>
      <c r="M80" s="7">
        <f t="shared" si="0"/>
        <v>46040</v>
      </c>
      <c r="N80" s="3" t="str">
        <f t="shared" si="1"/>
        <v>Regular</v>
      </c>
    </row>
    <row r="81" customHeight="1" spans="1:14">
      <c r="A81" s="1" t="s">
        <v>134</v>
      </c>
      <c r="B81" s="1">
        <v>99</v>
      </c>
      <c r="C81" s="1">
        <v>21</v>
      </c>
      <c r="D81" s="3" t="str">
        <f>IFERROR(VLOOKUP($C81,merchants!$A$1:$D$41,2,FALSE),"Merchant not found")</f>
        <v>Merchant_021</v>
      </c>
      <c r="E81" s="3" t="str">
        <f>IFERROR(VLOOKUP($C81,merchants!$A$1:$D$41,3,FALSE),"Merchant not found")</f>
        <v>food_delivery</v>
      </c>
      <c r="F81" s="3" t="str">
        <f>IFERROR(VLOOKUP($C81,merchants!$A$1:$D$41,4,FALSE),"Merchant not found")</f>
        <v>East</v>
      </c>
      <c r="G81" s="5">
        <v>46031.2965277778</v>
      </c>
      <c r="H81" s="1">
        <v>499</v>
      </c>
      <c r="I81" s="1" t="s">
        <v>52</v>
      </c>
      <c r="J81" s="1" t="s">
        <v>50</v>
      </c>
      <c r="K81" s="1">
        <v>15</v>
      </c>
      <c r="L81" s="6">
        <f>IFERROR(HLOOKUP($I81,Reference!$B$1:$E$2,2,FALSE),0)</f>
        <v>0</v>
      </c>
      <c r="M81" s="7">
        <f t="shared" si="0"/>
        <v>46031</v>
      </c>
      <c r="N81" s="3" t="str">
        <f t="shared" si="1"/>
        <v>Regular</v>
      </c>
    </row>
    <row r="82" customHeight="1" spans="1:14">
      <c r="A82" s="1" t="s">
        <v>135</v>
      </c>
      <c r="B82" s="1">
        <v>95</v>
      </c>
      <c r="C82" s="1">
        <v>13</v>
      </c>
      <c r="D82" s="3" t="str">
        <f>IFERROR(VLOOKUP($C82,merchants!$A$1:$D$41,2,FALSE),"Merchant not found")</f>
        <v>Merchant_013</v>
      </c>
      <c r="E82" s="3" t="str">
        <f>IFERROR(VLOOKUP($C82,merchants!$A$1:$D$41,3,FALSE),"Merchant not found")</f>
        <v>travel</v>
      </c>
      <c r="F82" s="3" t="str">
        <f>IFERROR(VLOOKUP($C82,merchants!$A$1:$D$41,4,FALSE),"Merchant not found")</f>
        <v>East</v>
      </c>
      <c r="G82" s="5">
        <v>46046.7416666667</v>
      </c>
      <c r="H82" s="1">
        <v>2999</v>
      </c>
      <c r="I82" s="1" t="s">
        <v>55</v>
      </c>
      <c r="J82" s="1" t="s">
        <v>65</v>
      </c>
      <c r="K82" s="1">
        <v>27</v>
      </c>
      <c r="L82" s="6">
        <f>IFERROR(HLOOKUP($I82,Reference!$B$1:$E$2,2,FALSE),0)</f>
        <v>0.01</v>
      </c>
      <c r="M82" s="7">
        <f t="shared" si="0"/>
        <v>46046</v>
      </c>
      <c r="N82" s="3" t="str">
        <f t="shared" si="1"/>
        <v>Regular</v>
      </c>
    </row>
    <row r="83" customHeight="1" spans="1:14">
      <c r="A83" s="1" t="s">
        <v>136</v>
      </c>
      <c r="B83" s="1">
        <v>302</v>
      </c>
      <c r="C83" s="1">
        <v>34</v>
      </c>
      <c r="D83" s="3" t="str">
        <f>IFERROR(VLOOKUP($C83,merchants!$A$1:$D$41,2,FALSE),"Merchant not found")</f>
        <v>Merchant_034</v>
      </c>
      <c r="E83" s="3" t="str">
        <f>IFERROR(VLOOKUP($C83,merchants!$A$1:$D$41,3,FALSE),"Merchant not found")</f>
        <v>travel</v>
      </c>
      <c r="F83" s="3" t="str">
        <f>IFERROR(VLOOKUP($C83,merchants!$A$1:$D$41,4,FALSE),"Merchant not found")</f>
        <v>South</v>
      </c>
      <c r="G83" s="5">
        <v>46046.6368055556</v>
      </c>
      <c r="H83" s="1">
        <v>49</v>
      </c>
      <c r="I83" s="1" t="s">
        <v>55</v>
      </c>
      <c r="J83" s="1" t="s">
        <v>50</v>
      </c>
      <c r="K83" s="1">
        <v>76</v>
      </c>
      <c r="L83" s="6">
        <f>IFERROR(HLOOKUP($I83,Reference!$B$1:$E$2,2,FALSE),0)</f>
        <v>0.01</v>
      </c>
      <c r="M83" s="7">
        <f t="shared" si="0"/>
        <v>46046</v>
      </c>
      <c r="N83" s="3" t="str">
        <f t="shared" si="1"/>
        <v>Regular</v>
      </c>
    </row>
    <row r="84" customHeight="1" spans="1:14">
      <c r="A84" s="1" t="s">
        <v>137</v>
      </c>
      <c r="B84" s="1">
        <v>100</v>
      </c>
      <c r="C84" s="1">
        <v>19</v>
      </c>
      <c r="D84" s="3" t="str">
        <f>IFERROR(VLOOKUP($C84,merchants!$A$1:$D$41,2,FALSE),"Merchant not found")</f>
        <v>Merchant_019</v>
      </c>
      <c r="E84" s="3" t="str">
        <f>IFERROR(VLOOKUP($C84,merchants!$A$1:$D$41,3,FALSE),"Merchant not found")</f>
        <v>grocery</v>
      </c>
      <c r="F84" s="3" t="str">
        <f>IFERROR(VLOOKUP($C84,merchants!$A$1:$D$41,4,FALSE),"Merchant not found")</f>
        <v>North</v>
      </c>
      <c r="G84" s="5">
        <v>46032.1618055556</v>
      </c>
      <c r="H84" s="1">
        <v>2999</v>
      </c>
      <c r="I84" s="1" t="s">
        <v>55</v>
      </c>
      <c r="J84" s="1" t="s">
        <v>50</v>
      </c>
      <c r="K84" s="1">
        <v>29</v>
      </c>
      <c r="L84" s="6">
        <f>IFERROR(HLOOKUP($I84,Reference!$B$1:$E$2,2,FALSE),0)</f>
        <v>0.01</v>
      </c>
      <c r="M84" s="7">
        <f t="shared" si="0"/>
        <v>46032</v>
      </c>
      <c r="N84" s="3" t="str">
        <f t="shared" si="1"/>
        <v>Regular</v>
      </c>
    </row>
    <row r="85" customHeight="1" spans="1:14">
      <c r="A85" s="1" t="s">
        <v>138</v>
      </c>
      <c r="B85" s="1">
        <v>8</v>
      </c>
      <c r="C85" s="1">
        <v>35</v>
      </c>
      <c r="D85" s="3" t="str">
        <f>IFERROR(VLOOKUP($C85,merchants!$A$1:$D$41,2,FALSE),"Merchant not found")</f>
        <v>Merchant_035</v>
      </c>
      <c r="E85" s="3" t="str">
        <f>IFERROR(VLOOKUP($C85,merchants!$A$1:$D$41,3,FALSE),"Merchant not found")</f>
        <v>recharge</v>
      </c>
      <c r="F85" s="3" t="str">
        <f>IFERROR(VLOOKUP($C85,merchants!$A$1:$D$41,4,FALSE),"Merchant not found")</f>
        <v>East</v>
      </c>
      <c r="G85" s="5">
        <v>46034.2215277778</v>
      </c>
      <c r="H85" s="1">
        <v>99</v>
      </c>
      <c r="I85" s="1" t="s">
        <v>52</v>
      </c>
      <c r="J85" s="1" t="s">
        <v>50</v>
      </c>
      <c r="K85" s="1">
        <v>16</v>
      </c>
      <c r="L85" s="6">
        <f>IFERROR(HLOOKUP($I85,Reference!$B$1:$E$2,2,FALSE),0)</f>
        <v>0</v>
      </c>
      <c r="M85" s="7">
        <f t="shared" si="0"/>
        <v>46034</v>
      </c>
      <c r="N85" s="3" t="str">
        <f t="shared" si="1"/>
        <v>Regular</v>
      </c>
    </row>
    <row r="86" customHeight="1" spans="1:14">
      <c r="A86" s="1" t="s">
        <v>139</v>
      </c>
      <c r="B86" s="1">
        <v>284</v>
      </c>
      <c r="C86" s="1">
        <v>19</v>
      </c>
      <c r="D86" s="3" t="str">
        <f>IFERROR(VLOOKUP($C86,merchants!$A$1:$D$41,2,FALSE),"Merchant not found")</f>
        <v>Merchant_019</v>
      </c>
      <c r="E86" s="3" t="str">
        <f>IFERROR(VLOOKUP($C86,merchants!$A$1:$D$41,3,FALSE),"Merchant not found")</f>
        <v>grocery</v>
      </c>
      <c r="F86" s="3" t="str">
        <f>IFERROR(VLOOKUP($C86,merchants!$A$1:$D$41,4,FALSE),"Merchant not found")</f>
        <v>North</v>
      </c>
      <c r="G86" s="5">
        <v>46031.04375</v>
      </c>
      <c r="H86" s="1">
        <v>99</v>
      </c>
      <c r="I86" s="1" t="s">
        <v>52</v>
      </c>
      <c r="J86" s="1" t="s">
        <v>50</v>
      </c>
      <c r="K86" s="1">
        <v>89</v>
      </c>
      <c r="L86" s="6">
        <f>IFERROR(HLOOKUP($I86,Reference!$B$1:$E$2,2,FALSE),0)</f>
        <v>0</v>
      </c>
      <c r="M86" s="7">
        <f t="shared" si="0"/>
        <v>46031</v>
      </c>
      <c r="N86" s="3" t="str">
        <f t="shared" si="1"/>
        <v>Regular</v>
      </c>
    </row>
    <row r="87" customHeight="1" spans="1:14">
      <c r="A87" s="1" t="s">
        <v>140</v>
      </c>
      <c r="B87" s="1">
        <v>252</v>
      </c>
      <c r="C87" s="1">
        <v>7</v>
      </c>
      <c r="D87" s="3" t="str">
        <f>IFERROR(VLOOKUP($C87,merchants!$A$1:$D$41,2,FALSE),"Merchant not found")</f>
        <v>Merchant_007</v>
      </c>
      <c r="E87" s="3" t="str">
        <f>IFERROR(VLOOKUP($C87,merchants!$A$1:$D$41,3,FALSE),"Merchant not found")</f>
        <v>food_delivery</v>
      </c>
      <c r="F87" s="3" t="str">
        <f>IFERROR(VLOOKUP($C87,merchants!$A$1:$D$41,4,FALSE),"Merchant not found")</f>
        <v>East</v>
      </c>
      <c r="G87" s="5">
        <v>46027.8715277778</v>
      </c>
      <c r="H87" s="1">
        <v>2999</v>
      </c>
      <c r="I87" s="1" t="s">
        <v>49</v>
      </c>
      <c r="J87" s="1" t="s">
        <v>50</v>
      </c>
      <c r="K87" s="1">
        <v>1</v>
      </c>
      <c r="L87" s="6">
        <f>IFERROR(HLOOKUP($I87,Reference!$B$1:$E$2,2,FALSE),0)</f>
        <v>0.015</v>
      </c>
      <c r="M87" s="7">
        <f t="shared" si="0"/>
        <v>46027</v>
      </c>
      <c r="N87" s="3" t="str">
        <f t="shared" si="1"/>
        <v>Regular</v>
      </c>
    </row>
    <row r="88" customHeight="1" spans="1:14">
      <c r="A88" s="1" t="s">
        <v>141</v>
      </c>
      <c r="B88" s="1">
        <v>246</v>
      </c>
      <c r="C88" s="1">
        <v>29</v>
      </c>
      <c r="D88" s="3" t="str">
        <f>IFERROR(VLOOKUP($C88,merchants!$A$1:$D$41,2,FALSE),"Merchant not found")</f>
        <v>Merchant_029</v>
      </c>
      <c r="E88" s="3" t="str">
        <f>IFERROR(VLOOKUP($C88,merchants!$A$1:$D$41,3,FALSE),"Merchant not found")</f>
        <v>ecommerce</v>
      </c>
      <c r="F88" s="3" t="str">
        <f>IFERROR(VLOOKUP($C88,merchants!$A$1:$D$41,4,FALSE),"Merchant not found")</f>
        <v>North</v>
      </c>
      <c r="G88" s="5">
        <v>46041.3958333333</v>
      </c>
      <c r="H88" s="1">
        <v>49</v>
      </c>
      <c r="I88" s="1" t="s">
        <v>49</v>
      </c>
      <c r="J88" s="1" t="s">
        <v>50</v>
      </c>
      <c r="K88" s="1">
        <v>43</v>
      </c>
      <c r="L88" s="6">
        <f>IFERROR(HLOOKUP($I88,Reference!$B$1:$E$2,2,FALSE),0)</f>
        <v>0.015</v>
      </c>
      <c r="M88" s="7">
        <f t="shared" si="0"/>
        <v>46041</v>
      </c>
      <c r="N88" s="3" t="str">
        <f t="shared" si="1"/>
        <v>Regular</v>
      </c>
    </row>
    <row r="89" customHeight="1" spans="1:14">
      <c r="A89" s="1" t="s">
        <v>142</v>
      </c>
      <c r="B89" s="1">
        <v>245</v>
      </c>
      <c r="C89" s="1">
        <v>8</v>
      </c>
      <c r="D89" s="3" t="str">
        <f>IFERROR(VLOOKUP($C89,merchants!$A$1:$D$41,2,FALSE),"Merchant not found")</f>
        <v>Merchant_008</v>
      </c>
      <c r="E89" s="3" t="str">
        <f>IFERROR(VLOOKUP($C89,merchants!$A$1:$D$41,3,FALSE),"Merchant not found")</f>
        <v>food_delivery</v>
      </c>
      <c r="F89" s="3" t="str">
        <f>IFERROR(VLOOKUP($C89,merchants!$A$1:$D$41,4,FALSE),"Merchant not found")</f>
        <v>North</v>
      </c>
      <c r="G89" s="5">
        <v>46028.0527777778</v>
      </c>
      <c r="H89" s="1">
        <v>49</v>
      </c>
      <c r="I89" s="1" t="s">
        <v>52</v>
      </c>
      <c r="J89" s="1" t="s">
        <v>78</v>
      </c>
      <c r="K89" s="1">
        <v>8</v>
      </c>
      <c r="L89" s="6">
        <f>IFERROR(HLOOKUP($I89,Reference!$B$1:$E$2,2,FALSE),0)</f>
        <v>0</v>
      </c>
      <c r="M89" s="7">
        <f t="shared" si="0"/>
        <v>46028</v>
      </c>
      <c r="N89" s="3" t="str">
        <f t="shared" si="1"/>
        <v>Regular</v>
      </c>
    </row>
    <row r="90" customHeight="1" spans="1:14">
      <c r="A90" s="1" t="s">
        <v>143</v>
      </c>
      <c r="B90" s="1">
        <v>296</v>
      </c>
      <c r="C90" s="1">
        <v>4</v>
      </c>
      <c r="D90" s="3" t="str">
        <f>IFERROR(VLOOKUP($C90,merchants!$A$1:$D$41,2,FALSE),"Merchant not found")</f>
        <v>Merchant_004</v>
      </c>
      <c r="E90" s="3" t="str">
        <f>IFERROR(VLOOKUP($C90,merchants!$A$1:$D$41,3,FALSE),"Merchant not found")</f>
        <v>ecommerce</v>
      </c>
      <c r="F90" s="3" t="str">
        <f>IFERROR(VLOOKUP($C90,merchants!$A$1:$D$41,4,FALSE),"Merchant not found")</f>
        <v>East</v>
      </c>
      <c r="G90" s="5">
        <v>46035.6277777778</v>
      </c>
      <c r="H90" s="1">
        <v>799</v>
      </c>
      <c r="I90" s="1" t="s">
        <v>49</v>
      </c>
      <c r="J90" s="1" t="s">
        <v>50</v>
      </c>
      <c r="K90" s="1">
        <v>19</v>
      </c>
      <c r="L90" s="6">
        <f>IFERROR(HLOOKUP($I90,Reference!$B$1:$E$2,2,FALSE),0)</f>
        <v>0.015</v>
      </c>
      <c r="M90" s="7">
        <f t="shared" si="0"/>
        <v>46035</v>
      </c>
      <c r="N90" s="3" t="str">
        <f t="shared" si="1"/>
        <v>Regular</v>
      </c>
    </row>
    <row r="91" customHeight="1" spans="1:14">
      <c r="A91" s="1" t="s">
        <v>144</v>
      </c>
      <c r="B91" s="1">
        <v>44</v>
      </c>
      <c r="C91" s="1">
        <v>16</v>
      </c>
      <c r="D91" s="3" t="str">
        <f>IFERROR(VLOOKUP($C91,merchants!$A$1:$D$41,2,FALSE),"Merchant not found")</f>
        <v>Merchant_016</v>
      </c>
      <c r="E91" s="3" t="str">
        <f>IFERROR(VLOOKUP($C91,merchants!$A$1:$D$41,3,FALSE),"Merchant not found")</f>
        <v>bill_payment</v>
      </c>
      <c r="F91" s="3" t="str">
        <f>IFERROR(VLOOKUP($C91,merchants!$A$1:$D$41,4,FALSE),"Merchant not found")</f>
        <v>West</v>
      </c>
      <c r="G91" s="5">
        <v>46027.7631944444</v>
      </c>
      <c r="H91" s="1">
        <v>149</v>
      </c>
      <c r="I91" s="1" t="s">
        <v>52</v>
      </c>
      <c r="J91" s="1" t="s">
        <v>50</v>
      </c>
      <c r="K91" s="1">
        <v>15</v>
      </c>
      <c r="L91" s="6">
        <f>IFERROR(HLOOKUP($I91,Reference!$B$1:$E$2,2,FALSE),0)</f>
        <v>0</v>
      </c>
      <c r="M91" s="7">
        <f t="shared" si="0"/>
        <v>46027</v>
      </c>
      <c r="N91" s="3" t="str">
        <f t="shared" si="1"/>
        <v>Regular</v>
      </c>
    </row>
    <row r="92" customHeight="1" spans="1:14">
      <c r="A92" s="1" t="s">
        <v>145</v>
      </c>
      <c r="B92" s="1">
        <v>306</v>
      </c>
      <c r="C92" s="1">
        <v>40</v>
      </c>
      <c r="D92" s="3" t="str">
        <f>IFERROR(VLOOKUP($C92,merchants!$A$1:$D$41,2,FALSE),"Merchant not found")</f>
        <v>Merchant_040</v>
      </c>
      <c r="E92" s="3" t="str">
        <f>IFERROR(VLOOKUP($C92,merchants!$A$1:$D$41,3,FALSE),"Merchant not found")</f>
        <v>entertainment</v>
      </c>
      <c r="F92" s="3" t="str">
        <f>IFERROR(VLOOKUP($C92,merchants!$A$1:$D$41,4,FALSE),"Merchant not found")</f>
        <v>South</v>
      </c>
      <c r="G92" s="5">
        <v>46040.5680555556</v>
      </c>
      <c r="H92" s="1">
        <v>799</v>
      </c>
      <c r="I92" s="1" t="s">
        <v>64</v>
      </c>
      <c r="J92" s="1" t="s">
        <v>50</v>
      </c>
      <c r="K92" s="1">
        <v>28</v>
      </c>
      <c r="L92" s="6">
        <f>IFERROR(HLOOKUP($I92,Reference!$B$1:$E$2,2,FALSE),0)</f>
        <v>0.02</v>
      </c>
      <c r="M92" s="7">
        <f t="shared" si="0"/>
        <v>46040</v>
      </c>
      <c r="N92" s="3" t="str">
        <f t="shared" si="1"/>
        <v>Regular</v>
      </c>
    </row>
    <row r="93" customHeight="1" spans="1:14">
      <c r="A93" s="1" t="s">
        <v>146</v>
      </c>
      <c r="B93" s="1">
        <v>231</v>
      </c>
      <c r="C93" s="1">
        <v>29</v>
      </c>
      <c r="D93" s="3" t="str">
        <f>IFERROR(VLOOKUP($C93,merchants!$A$1:$D$41,2,FALSE),"Merchant not found")</f>
        <v>Merchant_029</v>
      </c>
      <c r="E93" s="3" t="str">
        <f>IFERROR(VLOOKUP($C93,merchants!$A$1:$D$41,3,FALSE),"Merchant not found")</f>
        <v>ecommerce</v>
      </c>
      <c r="F93" s="3" t="str">
        <f>IFERROR(VLOOKUP($C93,merchants!$A$1:$D$41,4,FALSE),"Merchant not found")</f>
        <v>North</v>
      </c>
      <c r="G93" s="5">
        <v>46047.6833333333</v>
      </c>
      <c r="H93" s="1">
        <v>299</v>
      </c>
      <c r="I93" s="1" t="s">
        <v>52</v>
      </c>
      <c r="J93" s="1" t="s">
        <v>50</v>
      </c>
      <c r="K93" s="1">
        <v>38</v>
      </c>
      <c r="L93" s="6">
        <f>IFERROR(HLOOKUP($I93,Reference!$B$1:$E$2,2,FALSE),0)</f>
        <v>0</v>
      </c>
      <c r="M93" s="7">
        <f t="shared" si="0"/>
        <v>46047</v>
      </c>
      <c r="N93" s="3" t="str">
        <f t="shared" si="1"/>
        <v>Regular</v>
      </c>
    </row>
    <row r="94" customHeight="1" spans="1:14">
      <c r="A94" s="1" t="s">
        <v>147</v>
      </c>
      <c r="B94" s="1">
        <v>157</v>
      </c>
      <c r="C94" s="1">
        <v>37</v>
      </c>
      <c r="D94" s="3" t="str">
        <f>IFERROR(VLOOKUP($C94,merchants!$A$1:$D$41,2,FALSE),"Merchant not found")</f>
        <v>Merchant_037</v>
      </c>
      <c r="E94" s="3" t="str">
        <f>IFERROR(VLOOKUP($C94,merchants!$A$1:$D$41,3,FALSE),"Merchant not found")</f>
        <v>entertainment</v>
      </c>
      <c r="F94" s="3" t="str">
        <f>IFERROR(VLOOKUP($C94,merchants!$A$1:$D$41,4,FALSE),"Merchant not found")</f>
        <v>South</v>
      </c>
      <c r="G94" s="5">
        <v>46050.76875</v>
      </c>
      <c r="H94" s="1">
        <v>499</v>
      </c>
      <c r="I94" s="1" t="s">
        <v>49</v>
      </c>
      <c r="J94" s="1" t="s">
        <v>50</v>
      </c>
      <c r="K94" s="1">
        <v>79</v>
      </c>
      <c r="L94" s="6">
        <f>IFERROR(HLOOKUP($I94,Reference!$B$1:$E$2,2,FALSE),0)</f>
        <v>0.015</v>
      </c>
      <c r="M94" s="7">
        <f t="shared" si="0"/>
        <v>46050</v>
      </c>
      <c r="N94" s="3" t="str">
        <f t="shared" si="1"/>
        <v>Regular</v>
      </c>
    </row>
    <row r="95" customHeight="1" spans="1:14">
      <c r="A95" s="1" t="s">
        <v>148</v>
      </c>
      <c r="B95" s="1">
        <v>51</v>
      </c>
      <c r="C95" s="1">
        <v>14</v>
      </c>
      <c r="D95" s="3" t="str">
        <f>IFERROR(VLOOKUP($C95,merchants!$A$1:$D$41,2,FALSE),"Merchant not found")</f>
        <v>Merchant_014</v>
      </c>
      <c r="E95" s="3" t="str">
        <f>IFERROR(VLOOKUP($C95,merchants!$A$1:$D$41,3,FALSE),"Merchant not found")</f>
        <v>grocery</v>
      </c>
      <c r="F95" s="3" t="str">
        <f>IFERROR(VLOOKUP($C95,merchants!$A$1:$D$41,4,FALSE),"Merchant not found")</f>
        <v>East</v>
      </c>
      <c r="G95" s="5">
        <v>46024.8243055556</v>
      </c>
      <c r="H95" s="1">
        <v>1499</v>
      </c>
      <c r="I95" s="1" t="s">
        <v>52</v>
      </c>
      <c r="J95" s="1" t="s">
        <v>50</v>
      </c>
      <c r="K95" s="1">
        <v>80</v>
      </c>
      <c r="L95" s="6">
        <f>IFERROR(HLOOKUP($I95,Reference!$B$1:$E$2,2,FALSE),0)</f>
        <v>0</v>
      </c>
      <c r="M95" s="7">
        <f t="shared" si="0"/>
        <v>46024</v>
      </c>
      <c r="N95" s="3" t="str">
        <f t="shared" si="1"/>
        <v>Regular</v>
      </c>
    </row>
    <row r="96" customHeight="1" spans="1:14">
      <c r="A96" s="1" t="s">
        <v>149</v>
      </c>
      <c r="B96" s="1">
        <v>42</v>
      </c>
      <c r="C96" s="1">
        <v>11</v>
      </c>
      <c r="D96" s="3" t="str">
        <f>IFERROR(VLOOKUP($C96,merchants!$A$1:$D$41,2,FALSE),"Merchant not found")</f>
        <v>Merchant_011</v>
      </c>
      <c r="E96" s="3" t="str">
        <f>IFERROR(VLOOKUP($C96,merchants!$A$1:$D$41,3,FALSE),"Merchant not found")</f>
        <v>ecommerce</v>
      </c>
      <c r="F96" s="3" t="str">
        <f>IFERROR(VLOOKUP($C96,merchants!$A$1:$D$41,4,FALSE),"Merchant not found")</f>
        <v>North</v>
      </c>
      <c r="G96" s="5">
        <v>46029.3625</v>
      </c>
      <c r="H96" s="1">
        <v>49</v>
      </c>
      <c r="I96" s="1" t="s">
        <v>49</v>
      </c>
      <c r="J96" s="1" t="s">
        <v>50</v>
      </c>
      <c r="K96" s="1">
        <v>30</v>
      </c>
      <c r="L96" s="6">
        <f>IFERROR(HLOOKUP($I96,Reference!$B$1:$E$2,2,FALSE),0)</f>
        <v>0.015</v>
      </c>
      <c r="M96" s="7">
        <f t="shared" si="0"/>
        <v>46029</v>
      </c>
      <c r="N96" s="3" t="str">
        <f t="shared" si="1"/>
        <v>Regular</v>
      </c>
    </row>
    <row r="97" customHeight="1" spans="1:14">
      <c r="A97" s="1" t="s">
        <v>150</v>
      </c>
      <c r="B97" s="1">
        <v>81</v>
      </c>
      <c r="C97" s="1">
        <v>1</v>
      </c>
      <c r="D97" s="3" t="str">
        <f>IFERROR(VLOOKUP($C97,merchants!$A$1:$D$41,2,FALSE),"Merchant not found")</f>
        <v>Merchant_001</v>
      </c>
      <c r="E97" s="3" t="str">
        <f>IFERROR(VLOOKUP($C97,merchants!$A$1:$D$41,3,FALSE),"Merchant not found")</f>
        <v>ecommerce</v>
      </c>
      <c r="F97" s="3" t="str">
        <f>IFERROR(VLOOKUP($C97,merchants!$A$1:$D$41,4,FALSE),"Merchant not found")</f>
        <v>South</v>
      </c>
      <c r="G97" s="5">
        <v>46028.7111111111</v>
      </c>
      <c r="H97" s="1">
        <v>149</v>
      </c>
      <c r="I97" s="1" t="s">
        <v>52</v>
      </c>
      <c r="J97" s="1" t="s">
        <v>50</v>
      </c>
      <c r="K97" s="1">
        <v>52</v>
      </c>
      <c r="L97" s="6">
        <f>IFERROR(HLOOKUP($I97,Reference!$B$1:$E$2,2,FALSE),0)</f>
        <v>0</v>
      </c>
      <c r="M97" s="7">
        <f t="shared" si="0"/>
        <v>46028</v>
      </c>
      <c r="N97" s="3" t="str">
        <f t="shared" si="1"/>
        <v>Regular</v>
      </c>
    </row>
    <row r="98" customHeight="1" spans="1:14">
      <c r="A98" s="1" t="s">
        <v>151</v>
      </c>
      <c r="B98" s="1">
        <v>241</v>
      </c>
      <c r="C98" s="1">
        <v>19</v>
      </c>
      <c r="D98" s="3" t="str">
        <f>IFERROR(VLOOKUP($C98,merchants!$A$1:$D$41,2,FALSE),"Merchant not found")</f>
        <v>Merchant_019</v>
      </c>
      <c r="E98" s="3" t="str">
        <f>IFERROR(VLOOKUP($C98,merchants!$A$1:$D$41,3,FALSE),"Merchant not found")</f>
        <v>grocery</v>
      </c>
      <c r="F98" s="3" t="str">
        <f>IFERROR(VLOOKUP($C98,merchants!$A$1:$D$41,4,FALSE),"Merchant not found")</f>
        <v>North</v>
      </c>
      <c r="G98" s="5">
        <v>46037.9430555556</v>
      </c>
      <c r="H98" s="1">
        <v>299</v>
      </c>
      <c r="I98" s="1" t="s">
        <v>52</v>
      </c>
      <c r="J98" s="1" t="s">
        <v>50</v>
      </c>
      <c r="K98" s="1">
        <v>4</v>
      </c>
      <c r="L98" s="6">
        <f>IFERROR(HLOOKUP($I98,Reference!$B$1:$E$2,2,FALSE),0)</f>
        <v>0</v>
      </c>
      <c r="M98" s="7">
        <f t="shared" si="0"/>
        <v>46037</v>
      </c>
      <c r="N98" s="3" t="str">
        <f t="shared" si="1"/>
        <v>Regular</v>
      </c>
    </row>
    <row r="99" customHeight="1" spans="1:14">
      <c r="A99" s="1" t="s">
        <v>152</v>
      </c>
      <c r="B99" s="1">
        <v>145</v>
      </c>
      <c r="C99" s="1">
        <v>30</v>
      </c>
      <c r="D99" s="3" t="str">
        <f>IFERROR(VLOOKUP($C99,merchants!$A$1:$D$41,2,FALSE),"Merchant not found")</f>
        <v>Merchant_030</v>
      </c>
      <c r="E99" s="3" t="str">
        <f>IFERROR(VLOOKUP($C99,merchants!$A$1:$D$41,3,FALSE),"Merchant not found")</f>
        <v>travel</v>
      </c>
      <c r="F99" s="3" t="str">
        <f>IFERROR(VLOOKUP($C99,merchants!$A$1:$D$41,4,FALSE),"Merchant not found")</f>
        <v>West</v>
      </c>
      <c r="G99" s="5">
        <v>46030.40625</v>
      </c>
      <c r="H99" s="1">
        <v>799</v>
      </c>
      <c r="I99" s="1" t="s">
        <v>52</v>
      </c>
      <c r="J99" s="1" t="s">
        <v>50</v>
      </c>
      <c r="K99" s="1">
        <v>9</v>
      </c>
      <c r="L99" s="6">
        <f>IFERROR(HLOOKUP($I99,Reference!$B$1:$E$2,2,FALSE),0)</f>
        <v>0</v>
      </c>
      <c r="M99" s="7">
        <f t="shared" si="0"/>
        <v>46030</v>
      </c>
      <c r="N99" s="3" t="str">
        <f t="shared" si="1"/>
        <v>Regular</v>
      </c>
    </row>
    <row r="100" customHeight="1" spans="1:14">
      <c r="A100" s="1" t="s">
        <v>153</v>
      </c>
      <c r="B100" s="1">
        <v>136</v>
      </c>
      <c r="C100" s="1">
        <v>38</v>
      </c>
      <c r="D100" s="3" t="str">
        <f>IFERROR(VLOOKUP($C100,merchants!$A$1:$D$41,2,FALSE),"Merchant not found")</f>
        <v>Merchant_038</v>
      </c>
      <c r="E100" s="3" t="str">
        <f>IFERROR(VLOOKUP($C100,merchants!$A$1:$D$41,3,FALSE),"Merchant not found")</f>
        <v>grocery</v>
      </c>
      <c r="F100" s="3" t="str">
        <f>IFERROR(VLOOKUP($C100,merchants!$A$1:$D$41,4,FALSE),"Merchant not found")</f>
        <v>East</v>
      </c>
      <c r="G100" s="5">
        <v>46044.3326388889</v>
      </c>
      <c r="H100" s="1">
        <v>299</v>
      </c>
      <c r="I100" s="1" t="s">
        <v>64</v>
      </c>
      <c r="J100" s="1" t="s">
        <v>50</v>
      </c>
      <c r="K100" s="1">
        <v>84</v>
      </c>
      <c r="L100" s="6">
        <f>IFERROR(HLOOKUP($I100,Reference!$B$1:$E$2,2,FALSE),0)</f>
        <v>0.02</v>
      </c>
      <c r="M100" s="7">
        <f t="shared" si="0"/>
        <v>46044</v>
      </c>
      <c r="N100" s="3" t="str">
        <f t="shared" si="1"/>
        <v>Regular</v>
      </c>
    </row>
    <row r="101" customHeight="1" spans="1:14">
      <c r="A101" s="1" t="s">
        <v>154</v>
      </c>
      <c r="B101" s="1">
        <v>59</v>
      </c>
      <c r="C101" s="1">
        <v>35</v>
      </c>
      <c r="D101" s="3" t="str">
        <f>IFERROR(VLOOKUP($C101,merchants!$A$1:$D$41,2,FALSE),"Merchant not found")</f>
        <v>Merchant_035</v>
      </c>
      <c r="E101" s="3" t="str">
        <f>IFERROR(VLOOKUP($C101,merchants!$A$1:$D$41,3,FALSE),"Merchant not found")</f>
        <v>recharge</v>
      </c>
      <c r="F101" s="3" t="str">
        <f>IFERROR(VLOOKUP($C101,merchants!$A$1:$D$41,4,FALSE),"Merchant not found")</f>
        <v>East</v>
      </c>
      <c r="G101" s="5">
        <v>46048.26875</v>
      </c>
      <c r="H101" s="1">
        <v>499</v>
      </c>
      <c r="I101" s="1" t="s">
        <v>52</v>
      </c>
      <c r="J101" s="1" t="s">
        <v>50</v>
      </c>
      <c r="K101" s="1">
        <v>28</v>
      </c>
      <c r="L101" s="6">
        <f>IFERROR(HLOOKUP($I101,Reference!$B$1:$E$2,2,FALSE),0)</f>
        <v>0</v>
      </c>
      <c r="M101" s="7">
        <f t="shared" si="0"/>
        <v>46048</v>
      </c>
      <c r="N101" s="3" t="str">
        <f t="shared" si="1"/>
        <v>Regular</v>
      </c>
    </row>
    <row r="102" customHeight="1" spans="1:14">
      <c r="A102" s="1" t="s">
        <v>155</v>
      </c>
      <c r="B102" s="1">
        <v>137</v>
      </c>
      <c r="C102" s="1">
        <v>10</v>
      </c>
      <c r="D102" s="3" t="str">
        <f>IFERROR(VLOOKUP($C102,merchants!$A$1:$D$41,2,FALSE),"Merchant not found")</f>
        <v>Merchant_010</v>
      </c>
      <c r="E102" s="3" t="str">
        <f>IFERROR(VLOOKUP($C102,merchants!$A$1:$D$41,3,FALSE),"Merchant not found")</f>
        <v>grocery</v>
      </c>
      <c r="F102" s="3" t="str">
        <f>IFERROR(VLOOKUP($C102,merchants!$A$1:$D$41,4,FALSE),"Merchant not found")</f>
        <v>West</v>
      </c>
      <c r="G102" s="5">
        <v>46043.2069444444</v>
      </c>
      <c r="H102" s="1">
        <v>299</v>
      </c>
      <c r="I102" s="1" t="s">
        <v>52</v>
      </c>
      <c r="J102" s="1" t="s">
        <v>50</v>
      </c>
      <c r="K102" s="1">
        <v>9</v>
      </c>
      <c r="L102" s="6">
        <f>IFERROR(HLOOKUP($I102,Reference!$B$1:$E$2,2,FALSE),0)</f>
        <v>0</v>
      </c>
      <c r="M102" s="7">
        <f t="shared" si="0"/>
        <v>46043</v>
      </c>
      <c r="N102" s="3" t="str">
        <f t="shared" si="1"/>
        <v>Regular</v>
      </c>
    </row>
    <row r="103" customHeight="1" spans="1:14">
      <c r="A103" s="1" t="s">
        <v>156</v>
      </c>
      <c r="B103" s="1">
        <v>158</v>
      </c>
      <c r="C103" s="1">
        <v>39</v>
      </c>
      <c r="D103" s="3" t="str">
        <f>IFERROR(VLOOKUP($C103,merchants!$A$1:$D$41,2,FALSE),"Merchant not found")</f>
        <v>Merchant_039</v>
      </c>
      <c r="E103" s="3" t="str">
        <f>IFERROR(VLOOKUP($C103,merchants!$A$1:$D$41,3,FALSE),"Merchant not found")</f>
        <v>entertainment</v>
      </c>
      <c r="F103" s="3" t="str">
        <f>IFERROR(VLOOKUP($C103,merchants!$A$1:$D$41,4,FALSE),"Merchant not found")</f>
        <v>North</v>
      </c>
      <c r="G103" s="5">
        <v>46024.2430555556</v>
      </c>
      <c r="H103" s="1">
        <v>499</v>
      </c>
      <c r="I103" s="1" t="s">
        <v>55</v>
      </c>
      <c r="J103" s="1" t="s">
        <v>50</v>
      </c>
      <c r="K103" s="1">
        <v>95</v>
      </c>
      <c r="L103" s="6">
        <f>IFERROR(HLOOKUP($I103,Reference!$B$1:$E$2,2,FALSE),0)</f>
        <v>0.01</v>
      </c>
      <c r="M103" s="7">
        <f t="shared" si="0"/>
        <v>46024</v>
      </c>
      <c r="N103" s="3" t="str">
        <f t="shared" si="1"/>
        <v>Regular</v>
      </c>
    </row>
    <row r="104" customHeight="1" spans="1:14">
      <c r="A104" s="1" t="s">
        <v>157</v>
      </c>
      <c r="B104" s="1">
        <v>148</v>
      </c>
      <c r="C104" s="1">
        <v>29</v>
      </c>
      <c r="D104" s="3" t="str">
        <f>IFERROR(VLOOKUP($C104,merchants!$A$1:$D$41,2,FALSE),"Merchant not found")</f>
        <v>Merchant_029</v>
      </c>
      <c r="E104" s="3" t="str">
        <f>IFERROR(VLOOKUP($C104,merchants!$A$1:$D$41,3,FALSE),"Merchant not found")</f>
        <v>ecommerce</v>
      </c>
      <c r="F104" s="3" t="str">
        <f>IFERROR(VLOOKUP($C104,merchants!$A$1:$D$41,4,FALSE),"Merchant not found")</f>
        <v>North</v>
      </c>
      <c r="G104" s="5">
        <v>46049.7902777778</v>
      </c>
      <c r="H104" s="1">
        <v>99</v>
      </c>
      <c r="I104" s="1" t="s">
        <v>64</v>
      </c>
      <c r="J104" s="1" t="s">
        <v>50</v>
      </c>
      <c r="K104" s="1">
        <v>15</v>
      </c>
      <c r="L104" s="6">
        <f>IFERROR(HLOOKUP($I104,Reference!$B$1:$E$2,2,FALSE),0)</f>
        <v>0.02</v>
      </c>
      <c r="M104" s="7">
        <f t="shared" si="0"/>
        <v>46049</v>
      </c>
      <c r="N104" s="3" t="str">
        <f t="shared" si="1"/>
        <v>Regular</v>
      </c>
    </row>
    <row r="105" customHeight="1" spans="1:14">
      <c r="A105" s="1" t="s">
        <v>158</v>
      </c>
      <c r="B105" s="1">
        <v>207</v>
      </c>
      <c r="C105" s="1">
        <v>18</v>
      </c>
      <c r="D105" s="3" t="str">
        <f>IFERROR(VLOOKUP($C105,merchants!$A$1:$D$41,2,FALSE),"Merchant not found")</f>
        <v>Merchant_018</v>
      </c>
      <c r="E105" s="3" t="str">
        <f>IFERROR(VLOOKUP($C105,merchants!$A$1:$D$41,3,FALSE),"Merchant not found")</f>
        <v>grocery</v>
      </c>
      <c r="F105" s="3" t="str">
        <f>IFERROR(VLOOKUP($C105,merchants!$A$1:$D$41,4,FALSE),"Merchant not found")</f>
        <v>West</v>
      </c>
      <c r="G105" s="5">
        <v>46037.9298611111</v>
      </c>
      <c r="H105" s="1">
        <v>149</v>
      </c>
      <c r="I105" s="1" t="s">
        <v>52</v>
      </c>
      <c r="J105" s="1" t="s">
        <v>50</v>
      </c>
      <c r="K105" s="1">
        <v>64</v>
      </c>
      <c r="L105" s="6">
        <f>IFERROR(HLOOKUP($I105,Reference!$B$1:$E$2,2,FALSE),0)</f>
        <v>0</v>
      </c>
      <c r="M105" s="7">
        <f t="shared" si="0"/>
        <v>46037</v>
      </c>
      <c r="N105" s="3" t="str">
        <f t="shared" si="1"/>
        <v>Regular</v>
      </c>
    </row>
    <row r="106" customHeight="1" spans="1:14">
      <c r="A106" s="1" t="s">
        <v>159</v>
      </c>
      <c r="B106" s="1">
        <v>42</v>
      </c>
      <c r="C106" s="1">
        <v>39</v>
      </c>
      <c r="D106" s="3" t="str">
        <f>IFERROR(VLOOKUP($C106,merchants!$A$1:$D$41,2,FALSE),"Merchant not found")</f>
        <v>Merchant_039</v>
      </c>
      <c r="E106" s="3" t="str">
        <f>IFERROR(VLOOKUP($C106,merchants!$A$1:$D$41,3,FALSE),"Merchant not found")</f>
        <v>entertainment</v>
      </c>
      <c r="F106" s="3" t="str">
        <f>IFERROR(VLOOKUP($C106,merchants!$A$1:$D$41,4,FALSE),"Merchant not found")</f>
        <v>North</v>
      </c>
      <c r="G106" s="5">
        <v>46040.6444444444</v>
      </c>
      <c r="H106" s="1">
        <v>2999</v>
      </c>
      <c r="I106" s="1" t="s">
        <v>64</v>
      </c>
      <c r="J106" s="1" t="s">
        <v>50</v>
      </c>
      <c r="K106" s="1">
        <v>5</v>
      </c>
      <c r="L106" s="6">
        <f>IFERROR(HLOOKUP($I106,Reference!$B$1:$E$2,2,FALSE),0)</f>
        <v>0.02</v>
      </c>
      <c r="M106" s="7">
        <f t="shared" si="0"/>
        <v>46040</v>
      </c>
      <c r="N106" s="3" t="str">
        <f t="shared" si="1"/>
        <v>Regular</v>
      </c>
    </row>
    <row r="107" customHeight="1" spans="1:14">
      <c r="A107" s="1" t="s">
        <v>160</v>
      </c>
      <c r="B107" s="1">
        <v>166</v>
      </c>
      <c r="C107" s="1">
        <v>39</v>
      </c>
      <c r="D107" s="3" t="str">
        <f>IFERROR(VLOOKUP($C107,merchants!$A$1:$D$41,2,FALSE),"Merchant not found")</f>
        <v>Merchant_039</v>
      </c>
      <c r="E107" s="3" t="str">
        <f>IFERROR(VLOOKUP($C107,merchants!$A$1:$D$41,3,FALSE),"Merchant not found")</f>
        <v>entertainment</v>
      </c>
      <c r="F107" s="3" t="str">
        <f>IFERROR(VLOOKUP($C107,merchants!$A$1:$D$41,4,FALSE),"Merchant not found")</f>
        <v>North</v>
      </c>
      <c r="G107" s="5">
        <v>46051.5743055556</v>
      </c>
      <c r="H107" s="1">
        <v>149</v>
      </c>
      <c r="I107" s="1" t="s">
        <v>52</v>
      </c>
      <c r="J107" s="1" t="s">
        <v>50</v>
      </c>
      <c r="K107" s="1">
        <v>32</v>
      </c>
      <c r="L107" s="6">
        <f>IFERROR(HLOOKUP($I107,Reference!$B$1:$E$2,2,FALSE),0)</f>
        <v>0</v>
      </c>
      <c r="M107" s="7">
        <f t="shared" si="0"/>
        <v>46051</v>
      </c>
      <c r="N107" s="3" t="str">
        <f t="shared" si="1"/>
        <v>Regular</v>
      </c>
    </row>
    <row r="108" customHeight="1" spans="1:14">
      <c r="A108" s="1" t="s">
        <v>161</v>
      </c>
      <c r="B108" s="1">
        <v>346</v>
      </c>
      <c r="C108" s="1">
        <v>37</v>
      </c>
      <c r="D108" s="3" t="str">
        <f>IFERROR(VLOOKUP($C108,merchants!$A$1:$D$41,2,FALSE),"Merchant not found")</f>
        <v>Merchant_037</v>
      </c>
      <c r="E108" s="3" t="str">
        <f>IFERROR(VLOOKUP($C108,merchants!$A$1:$D$41,3,FALSE),"Merchant not found")</f>
        <v>entertainment</v>
      </c>
      <c r="F108" s="3" t="str">
        <f>IFERROR(VLOOKUP($C108,merchants!$A$1:$D$41,4,FALSE),"Merchant not found")</f>
        <v>South</v>
      </c>
      <c r="G108" s="5">
        <v>46023.0930555556</v>
      </c>
      <c r="H108" s="1">
        <v>99</v>
      </c>
      <c r="I108" s="1" t="s">
        <v>52</v>
      </c>
      <c r="J108" s="1" t="s">
        <v>50</v>
      </c>
      <c r="K108" s="1">
        <v>75</v>
      </c>
      <c r="L108" s="6">
        <f>IFERROR(HLOOKUP($I108,Reference!$B$1:$E$2,2,FALSE),0)</f>
        <v>0</v>
      </c>
      <c r="M108" s="7">
        <f t="shared" si="0"/>
        <v>46023</v>
      </c>
      <c r="N108" s="3" t="str">
        <f t="shared" si="1"/>
        <v>Regular</v>
      </c>
    </row>
    <row r="109" customHeight="1" spans="1:14">
      <c r="A109" s="1" t="s">
        <v>162</v>
      </c>
      <c r="B109" s="1">
        <v>138</v>
      </c>
      <c r="C109" s="1">
        <v>37</v>
      </c>
      <c r="D109" s="3" t="str">
        <f>IFERROR(VLOOKUP($C109,merchants!$A$1:$D$41,2,FALSE),"Merchant not found")</f>
        <v>Merchant_037</v>
      </c>
      <c r="E109" s="3" t="str">
        <f>IFERROR(VLOOKUP($C109,merchants!$A$1:$D$41,3,FALSE),"Merchant not found")</f>
        <v>entertainment</v>
      </c>
      <c r="F109" s="3" t="str">
        <f>IFERROR(VLOOKUP($C109,merchants!$A$1:$D$41,4,FALSE),"Merchant not found")</f>
        <v>South</v>
      </c>
      <c r="G109" s="5">
        <v>46023.9111111111</v>
      </c>
      <c r="H109" s="1">
        <v>499</v>
      </c>
      <c r="I109" s="1" t="s">
        <v>52</v>
      </c>
      <c r="J109" s="1" t="s">
        <v>50</v>
      </c>
      <c r="K109" s="1">
        <v>5</v>
      </c>
      <c r="L109" s="6">
        <f>IFERROR(HLOOKUP($I109,Reference!$B$1:$E$2,2,FALSE),0)</f>
        <v>0</v>
      </c>
      <c r="M109" s="7">
        <f t="shared" si="0"/>
        <v>46023</v>
      </c>
      <c r="N109" s="3" t="str">
        <f t="shared" si="1"/>
        <v>Regular</v>
      </c>
    </row>
    <row r="110" customHeight="1" spans="1:14">
      <c r="A110" s="1" t="s">
        <v>163</v>
      </c>
      <c r="B110" s="1">
        <v>266</v>
      </c>
      <c r="C110" s="1">
        <v>29</v>
      </c>
      <c r="D110" s="3" t="str">
        <f>IFERROR(VLOOKUP($C110,merchants!$A$1:$D$41,2,FALSE),"Merchant not found")</f>
        <v>Merchant_029</v>
      </c>
      <c r="E110" s="3" t="str">
        <f>IFERROR(VLOOKUP($C110,merchants!$A$1:$D$41,3,FALSE),"Merchant not found")</f>
        <v>ecommerce</v>
      </c>
      <c r="F110" s="3" t="str">
        <f>IFERROR(VLOOKUP($C110,merchants!$A$1:$D$41,4,FALSE),"Merchant not found")</f>
        <v>North</v>
      </c>
      <c r="G110" s="5">
        <v>46047.2291666667</v>
      </c>
      <c r="H110" s="1">
        <v>499</v>
      </c>
      <c r="I110" s="1" t="s">
        <v>49</v>
      </c>
      <c r="J110" s="1" t="s">
        <v>65</v>
      </c>
      <c r="K110" s="1">
        <v>35</v>
      </c>
      <c r="L110" s="6">
        <f>IFERROR(HLOOKUP($I110,Reference!$B$1:$E$2,2,FALSE),0)</f>
        <v>0.015</v>
      </c>
      <c r="M110" s="7">
        <f t="shared" si="0"/>
        <v>46047</v>
      </c>
      <c r="N110" s="3" t="str">
        <f t="shared" si="1"/>
        <v>Regular</v>
      </c>
    </row>
    <row r="111" customHeight="1" spans="1:14">
      <c r="A111" s="1" t="s">
        <v>164</v>
      </c>
      <c r="B111" s="1">
        <v>326</v>
      </c>
      <c r="C111" s="1">
        <v>32</v>
      </c>
      <c r="D111" s="3" t="str">
        <f>IFERROR(VLOOKUP($C111,merchants!$A$1:$D$41,2,FALSE),"Merchant not found")</f>
        <v>Merchant_032</v>
      </c>
      <c r="E111" s="3" t="str">
        <f>IFERROR(VLOOKUP($C111,merchants!$A$1:$D$41,3,FALSE),"Merchant not found")</f>
        <v>food_delivery</v>
      </c>
      <c r="F111" s="3" t="str">
        <f>IFERROR(VLOOKUP($C111,merchants!$A$1:$D$41,4,FALSE),"Merchant not found")</f>
        <v>West</v>
      </c>
      <c r="G111" s="5">
        <v>46028.76875</v>
      </c>
      <c r="H111" s="1">
        <v>149</v>
      </c>
      <c r="I111" s="1" t="s">
        <v>52</v>
      </c>
      <c r="J111" s="1" t="s">
        <v>50</v>
      </c>
      <c r="K111" s="1">
        <v>11</v>
      </c>
      <c r="L111" s="6">
        <f>IFERROR(HLOOKUP($I111,Reference!$B$1:$E$2,2,FALSE),0)</f>
        <v>0</v>
      </c>
      <c r="M111" s="7">
        <f t="shared" si="0"/>
        <v>46028</v>
      </c>
      <c r="N111" s="3" t="str">
        <f t="shared" si="1"/>
        <v>Regular</v>
      </c>
    </row>
    <row r="112" customHeight="1" spans="1:14">
      <c r="A112" s="1" t="s">
        <v>165</v>
      </c>
      <c r="B112" s="1">
        <v>171</v>
      </c>
      <c r="C112" s="1">
        <v>21</v>
      </c>
      <c r="D112" s="3" t="str">
        <f>IFERROR(VLOOKUP($C112,merchants!$A$1:$D$41,2,FALSE),"Merchant not found")</f>
        <v>Merchant_021</v>
      </c>
      <c r="E112" s="3" t="str">
        <f>IFERROR(VLOOKUP($C112,merchants!$A$1:$D$41,3,FALSE),"Merchant not found")</f>
        <v>food_delivery</v>
      </c>
      <c r="F112" s="3" t="str">
        <f>IFERROR(VLOOKUP($C112,merchants!$A$1:$D$41,4,FALSE),"Merchant not found")</f>
        <v>East</v>
      </c>
      <c r="G112" s="5">
        <v>46038.4763888889</v>
      </c>
      <c r="H112" s="1">
        <v>799</v>
      </c>
      <c r="I112" s="1" t="s">
        <v>52</v>
      </c>
      <c r="J112" s="1" t="s">
        <v>50</v>
      </c>
      <c r="K112" s="1">
        <v>85</v>
      </c>
      <c r="L112" s="6">
        <f>IFERROR(HLOOKUP($I112,Reference!$B$1:$E$2,2,FALSE),0)</f>
        <v>0</v>
      </c>
      <c r="M112" s="7">
        <f t="shared" si="0"/>
        <v>46038</v>
      </c>
      <c r="N112" s="3" t="str">
        <f t="shared" si="1"/>
        <v>Regular</v>
      </c>
    </row>
    <row r="113" customHeight="1" spans="1:14">
      <c r="A113" s="1" t="s">
        <v>166</v>
      </c>
      <c r="B113" s="1">
        <v>211</v>
      </c>
      <c r="C113" s="1">
        <v>32</v>
      </c>
      <c r="D113" s="3" t="str">
        <f>IFERROR(VLOOKUP($C113,merchants!$A$1:$D$41,2,FALSE),"Merchant not found")</f>
        <v>Merchant_032</v>
      </c>
      <c r="E113" s="3" t="str">
        <f>IFERROR(VLOOKUP($C113,merchants!$A$1:$D$41,3,FALSE),"Merchant not found")</f>
        <v>food_delivery</v>
      </c>
      <c r="F113" s="3" t="str">
        <f>IFERROR(VLOOKUP($C113,merchants!$A$1:$D$41,4,FALSE),"Merchant not found")</f>
        <v>West</v>
      </c>
      <c r="G113" s="5">
        <v>46026.2229166667</v>
      </c>
      <c r="H113" s="1">
        <v>49</v>
      </c>
      <c r="I113" s="1" t="s">
        <v>52</v>
      </c>
      <c r="J113" s="1" t="s">
        <v>50</v>
      </c>
      <c r="K113" s="1">
        <v>36</v>
      </c>
      <c r="L113" s="6">
        <f>IFERROR(HLOOKUP($I113,Reference!$B$1:$E$2,2,FALSE),0)</f>
        <v>0</v>
      </c>
      <c r="M113" s="7">
        <f t="shared" si="0"/>
        <v>46026</v>
      </c>
      <c r="N113" s="3" t="str">
        <f t="shared" si="1"/>
        <v>Regular</v>
      </c>
    </row>
    <row r="114" customHeight="1" spans="1:14">
      <c r="A114" s="1" t="s">
        <v>167</v>
      </c>
      <c r="B114" s="1">
        <v>282</v>
      </c>
      <c r="C114" s="1">
        <v>3</v>
      </c>
      <c r="D114" s="3" t="str">
        <f>IFERROR(VLOOKUP($C114,merchants!$A$1:$D$41,2,FALSE),"Merchant not found")</f>
        <v>Merchant_003</v>
      </c>
      <c r="E114" s="3" t="str">
        <f>IFERROR(VLOOKUP($C114,merchants!$A$1:$D$41,3,FALSE),"Merchant not found")</f>
        <v>grocery</v>
      </c>
      <c r="F114" s="3" t="str">
        <f>IFERROR(VLOOKUP($C114,merchants!$A$1:$D$41,4,FALSE),"Merchant not found")</f>
        <v>East</v>
      </c>
      <c r="G114" s="5">
        <v>46044.5361111111</v>
      </c>
      <c r="H114" s="1">
        <v>499</v>
      </c>
      <c r="I114" s="1" t="s">
        <v>52</v>
      </c>
      <c r="J114" s="1" t="s">
        <v>50</v>
      </c>
      <c r="K114" s="1">
        <v>58</v>
      </c>
      <c r="L114" s="6">
        <f>IFERROR(HLOOKUP($I114,Reference!$B$1:$E$2,2,FALSE),0)</f>
        <v>0</v>
      </c>
      <c r="M114" s="7">
        <f t="shared" si="0"/>
        <v>46044</v>
      </c>
      <c r="N114" s="3" t="str">
        <f t="shared" si="1"/>
        <v>Regular</v>
      </c>
    </row>
    <row r="115" customHeight="1" spans="1:14">
      <c r="A115" s="1" t="s">
        <v>168</v>
      </c>
      <c r="B115" s="1">
        <v>166</v>
      </c>
      <c r="C115" s="1">
        <v>8</v>
      </c>
      <c r="D115" s="3" t="str">
        <f>IFERROR(VLOOKUP($C115,merchants!$A$1:$D$41,2,FALSE),"Merchant not found")</f>
        <v>Merchant_008</v>
      </c>
      <c r="E115" s="3" t="str">
        <f>IFERROR(VLOOKUP($C115,merchants!$A$1:$D$41,3,FALSE),"Merchant not found")</f>
        <v>food_delivery</v>
      </c>
      <c r="F115" s="3" t="str">
        <f>IFERROR(VLOOKUP($C115,merchants!$A$1:$D$41,4,FALSE),"Merchant not found")</f>
        <v>North</v>
      </c>
      <c r="G115" s="5">
        <v>46025.4277777778</v>
      </c>
      <c r="H115" s="1">
        <v>299</v>
      </c>
      <c r="I115" s="1" t="s">
        <v>52</v>
      </c>
      <c r="J115" s="1" t="s">
        <v>50</v>
      </c>
      <c r="K115" s="1">
        <v>98</v>
      </c>
      <c r="L115" s="6">
        <f>IFERROR(HLOOKUP($I115,Reference!$B$1:$E$2,2,FALSE),0)</f>
        <v>0</v>
      </c>
      <c r="M115" s="7">
        <f t="shared" si="0"/>
        <v>46025</v>
      </c>
      <c r="N115" s="3" t="str">
        <f t="shared" si="1"/>
        <v>Regular</v>
      </c>
    </row>
    <row r="116" customHeight="1" spans="1:14">
      <c r="A116" s="1" t="s">
        <v>169</v>
      </c>
      <c r="B116" s="1">
        <v>1</v>
      </c>
      <c r="C116" s="1">
        <v>35</v>
      </c>
      <c r="D116" s="3" t="str">
        <f>IFERROR(VLOOKUP($C116,merchants!$A$1:$D$41,2,FALSE),"Merchant not found")</f>
        <v>Merchant_035</v>
      </c>
      <c r="E116" s="3" t="str">
        <f>IFERROR(VLOOKUP($C116,merchants!$A$1:$D$41,3,FALSE),"Merchant not found")</f>
        <v>recharge</v>
      </c>
      <c r="F116" s="3" t="str">
        <f>IFERROR(VLOOKUP($C116,merchants!$A$1:$D$41,4,FALSE),"Merchant not found")</f>
        <v>East</v>
      </c>
      <c r="G116" s="5">
        <v>46035.7027777778</v>
      </c>
      <c r="H116" s="1">
        <v>149</v>
      </c>
      <c r="I116" s="1" t="s">
        <v>52</v>
      </c>
      <c r="J116" s="1" t="s">
        <v>50</v>
      </c>
      <c r="K116" s="1">
        <v>59</v>
      </c>
      <c r="L116" s="6">
        <f>IFERROR(HLOOKUP($I116,Reference!$B$1:$E$2,2,FALSE),0)</f>
        <v>0</v>
      </c>
      <c r="M116" s="7">
        <f t="shared" si="0"/>
        <v>46035</v>
      </c>
      <c r="N116" s="3" t="str">
        <f t="shared" si="1"/>
        <v>Regular</v>
      </c>
    </row>
    <row r="117" customHeight="1" spans="1:14">
      <c r="A117" s="1" t="s">
        <v>170</v>
      </c>
      <c r="B117" s="1">
        <v>266</v>
      </c>
      <c r="C117" s="1">
        <v>24</v>
      </c>
      <c r="D117" s="3" t="str">
        <f>IFERROR(VLOOKUP($C117,merchants!$A$1:$D$41,2,FALSE),"Merchant not found")</f>
        <v>Merchant_024</v>
      </c>
      <c r="E117" s="3" t="str">
        <f>IFERROR(VLOOKUP($C117,merchants!$A$1:$D$41,3,FALSE),"Merchant not found")</f>
        <v>grocery</v>
      </c>
      <c r="F117" s="3" t="str">
        <f>IFERROR(VLOOKUP($C117,merchants!$A$1:$D$41,4,FALSE),"Merchant not found")</f>
        <v>North</v>
      </c>
      <c r="G117" s="5">
        <v>46036.05</v>
      </c>
      <c r="H117" s="1">
        <v>499</v>
      </c>
      <c r="I117" s="1" t="s">
        <v>52</v>
      </c>
      <c r="J117" s="1" t="s">
        <v>50</v>
      </c>
      <c r="K117" s="1">
        <v>79</v>
      </c>
      <c r="L117" s="6">
        <f>IFERROR(HLOOKUP($I117,Reference!$B$1:$E$2,2,FALSE),0)</f>
        <v>0</v>
      </c>
      <c r="M117" s="7">
        <f t="shared" si="0"/>
        <v>46036</v>
      </c>
      <c r="N117" s="3" t="str">
        <f t="shared" si="1"/>
        <v>Regular</v>
      </c>
    </row>
    <row r="118" customHeight="1" spans="1:14">
      <c r="A118" s="1" t="s">
        <v>171</v>
      </c>
      <c r="B118" s="1">
        <v>227</v>
      </c>
      <c r="C118" s="1">
        <v>4</v>
      </c>
      <c r="D118" s="3" t="str">
        <f>IFERROR(VLOOKUP($C118,merchants!$A$1:$D$41,2,FALSE),"Merchant not found")</f>
        <v>Merchant_004</v>
      </c>
      <c r="E118" s="3" t="str">
        <f>IFERROR(VLOOKUP($C118,merchants!$A$1:$D$41,3,FALSE),"Merchant not found")</f>
        <v>ecommerce</v>
      </c>
      <c r="F118" s="3" t="str">
        <f>IFERROR(VLOOKUP($C118,merchants!$A$1:$D$41,4,FALSE),"Merchant not found")</f>
        <v>East</v>
      </c>
      <c r="G118" s="5">
        <v>46047.6527777778</v>
      </c>
      <c r="H118" s="1">
        <v>499</v>
      </c>
      <c r="I118" s="1" t="s">
        <v>52</v>
      </c>
      <c r="J118" s="1" t="s">
        <v>50</v>
      </c>
      <c r="K118" s="1">
        <v>26</v>
      </c>
      <c r="L118" s="6">
        <f>IFERROR(HLOOKUP($I118,Reference!$B$1:$E$2,2,FALSE),0)</f>
        <v>0</v>
      </c>
      <c r="M118" s="7">
        <f t="shared" si="0"/>
        <v>46047</v>
      </c>
      <c r="N118" s="3" t="str">
        <f t="shared" si="1"/>
        <v>Regular</v>
      </c>
    </row>
    <row r="119" customHeight="1" spans="1:14">
      <c r="A119" s="1" t="s">
        <v>172</v>
      </c>
      <c r="B119" s="1">
        <v>148</v>
      </c>
      <c r="C119" s="1">
        <v>29</v>
      </c>
      <c r="D119" s="3" t="str">
        <f>IFERROR(VLOOKUP($C119,merchants!$A$1:$D$41,2,FALSE),"Merchant not found")</f>
        <v>Merchant_029</v>
      </c>
      <c r="E119" s="3" t="str">
        <f>IFERROR(VLOOKUP($C119,merchants!$A$1:$D$41,3,FALSE),"Merchant not found")</f>
        <v>ecommerce</v>
      </c>
      <c r="F119" s="3" t="str">
        <f>IFERROR(VLOOKUP($C119,merchants!$A$1:$D$41,4,FALSE),"Merchant not found")</f>
        <v>North</v>
      </c>
      <c r="G119" s="5">
        <v>46031.7138888889</v>
      </c>
      <c r="H119" s="1">
        <v>499</v>
      </c>
      <c r="I119" s="1" t="s">
        <v>52</v>
      </c>
      <c r="J119" s="1" t="s">
        <v>50</v>
      </c>
      <c r="K119" s="1">
        <v>89</v>
      </c>
      <c r="L119" s="6">
        <f>IFERROR(HLOOKUP($I119,Reference!$B$1:$E$2,2,FALSE),0)</f>
        <v>0</v>
      </c>
      <c r="M119" s="7">
        <f t="shared" si="0"/>
        <v>46031</v>
      </c>
      <c r="N119" s="3" t="str">
        <f t="shared" si="1"/>
        <v>Regular</v>
      </c>
    </row>
    <row r="120" customHeight="1" spans="1:14">
      <c r="A120" s="1" t="s">
        <v>173</v>
      </c>
      <c r="B120" s="1">
        <v>323</v>
      </c>
      <c r="C120" s="1">
        <v>39</v>
      </c>
      <c r="D120" s="3" t="str">
        <f>IFERROR(VLOOKUP($C120,merchants!$A$1:$D$41,2,FALSE),"Merchant not found")</f>
        <v>Merchant_039</v>
      </c>
      <c r="E120" s="3" t="str">
        <f>IFERROR(VLOOKUP($C120,merchants!$A$1:$D$41,3,FALSE),"Merchant not found")</f>
        <v>entertainment</v>
      </c>
      <c r="F120" s="3" t="str">
        <f>IFERROR(VLOOKUP($C120,merchants!$A$1:$D$41,4,FALSE),"Merchant not found")</f>
        <v>North</v>
      </c>
      <c r="G120" s="5">
        <v>46038.1256944444</v>
      </c>
      <c r="H120" s="1">
        <v>499</v>
      </c>
      <c r="I120" s="1" t="s">
        <v>52</v>
      </c>
      <c r="J120" s="1" t="s">
        <v>50</v>
      </c>
      <c r="K120" s="1">
        <v>30</v>
      </c>
      <c r="L120" s="6">
        <f>IFERROR(HLOOKUP($I120,Reference!$B$1:$E$2,2,FALSE),0)</f>
        <v>0</v>
      </c>
      <c r="M120" s="7">
        <f t="shared" si="0"/>
        <v>46038</v>
      </c>
      <c r="N120" s="3" t="str">
        <f t="shared" si="1"/>
        <v>Regular</v>
      </c>
    </row>
    <row r="121" customHeight="1" spans="1:14">
      <c r="A121" s="1" t="s">
        <v>174</v>
      </c>
      <c r="B121" s="1">
        <v>283</v>
      </c>
      <c r="C121" s="1">
        <v>1</v>
      </c>
      <c r="D121" s="3" t="str">
        <f>IFERROR(VLOOKUP($C121,merchants!$A$1:$D$41,2,FALSE),"Merchant not found")</f>
        <v>Merchant_001</v>
      </c>
      <c r="E121" s="3" t="str">
        <f>IFERROR(VLOOKUP($C121,merchants!$A$1:$D$41,3,FALSE),"Merchant not found")</f>
        <v>ecommerce</v>
      </c>
      <c r="F121" s="3" t="str">
        <f>IFERROR(VLOOKUP($C121,merchants!$A$1:$D$41,4,FALSE),"Merchant not found")</f>
        <v>South</v>
      </c>
      <c r="G121" s="5">
        <v>46045.2215277778</v>
      </c>
      <c r="H121" s="1">
        <v>2999</v>
      </c>
      <c r="I121" s="1" t="s">
        <v>49</v>
      </c>
      <c r="J121" s="1" t="s">
        <v>50</v>
      </c>
      <c r="K121" s="1">
        <v>70</v>
      </c>
      <c r="L121" s="6">
        <f>IFERROR(HLOOKUP($I121,Reference!$B$1:$E$2,2,FALSE),0)</f>
        <v>0.015</v>
      </c>
      <c r="M121" s="7">
        <f t="shared" si="0"/>
        <v>46045</v>
      </c>
      <c r="N121" s="3" t="str">
        <f t="shared" si="1"/>
        <v>Regular</v>
      </c>
    </row>
    <row r="122" customHeight="1" spans="1:14">
      <c r="A122" s="1" t="s">
        <v>175</v>
      </c>
      <c r="B122" s="1">
        <v>59</v>
      </c>
      <c r="C122" s="1">
        <v>30</v>
      </c>
      <c r="D122" s="3" t="str">
        <f>IFERROR(VLOOKUP($C122,merchants!$A$1:$D$41,2,FALSE),"Merchant not found")</f>
        <v>Merchant_030</v>
      </c>
      <c r="E122" s="3" t="str">
        <f>IFERROR(VLOOKUP($C122,merchants!$A$1:$D$41,3,FALSE),"Merchant not found")</f>
        <v>travel</v>
      </c>
      <c r="F122" s="3" t="str">
        <f>IFERROR(VLOOKUP($C122,merchants!$A$1:$D$41,4,FALSE),"Merchant not found")</f>
        <v>West</v>
      </c>
      <c r="G122" s="5">
        <v>46036.0930555556</v>
      </c>
      <c r="H122" s="1">
        <v>499</v>
      </c>
      <c r="I122" s="1" t="s">
        <v>52</v>
      </c>
      <c r="J122" s="1" t="s">
        <v>50</v>
      </c>
      <c r="K122" s="1">
        <v>15</v>
      </c>
      <c r="L122" s="6">
        <f>IFERROR(HLOOKUP($I122,Reference!$B$1:$E$2,2,FALSE),0)</f>
        <v>0</v>
      </c>
      <c r="M122" s="7">
        <f t="shared" si="0"/>
        <v>46036</v>
      </c>
      <c r="N122" s="3" t="str">
        <f t="shared" si="1"/>
        <v>Regular</v>
      </c>
    </row>
    <row r="123" customHeight="1" spans="1:14">
      <c r="A123" s="1" t="s">
        <v>176</v>
      </c>
      <c r="B123" s="1">
        <v>150</v>
      </c>
      <c r="C123" s="1">
        <v>33</v>
      </c>
      <c r="D123" s="3" t="str">
        <f>IFERROR(VLOOKUP($C123,merchants!$A$1:$D$41,2,FALSE),"Merchant not found")</f>
        <v>Merchant_033</v>
      </c>
      <c r="E123" s="3" t="str">
        <f>IFERROR(VLOOKUP($C123,merchants!$A$1:$D$41,3,FALSE),"Merchant not found")</f>
        <v>bill_payment</v>
      </c>
      <c r="F123" s="3" t="str">
        <f>IFERROR(VLOOKUP($C123,merchants!$A$1:$D$41,4,FALSE),"Merchant not found")</f>
        <v>East</v>
      </c>
      <c r="G123" s="5">
        <v>46043.1881944444</v>
      </c>
      <c r="H123" s="1">
        <v>2999</v>
      </c>
      <c r="I123" s="1" t="s">
        <v>52</v>
      </c>
      <c r="J123" s="1" t="s">
        <v>50</v>
      </c>
      <c r="K123" s="1">
        <v>90</v>
      </c>
      <c r="L123" s="6">
        <f>IFERROR(HLOOKUP($I123,Reference!$B$1:$E$2,2,FALSE),0)</f>
        <v>0</v>
      </c>
      <c r="M123" s="7">
        <f t="shared" si="0"/>
        <v>46043</v>
      </c>
      <c r="N123" s="3" t="str">
        <f t="shared" si="1"/>
        <v>Regular</v>
      </c>
    </row>
    <row r="124" customHeight="1" spans="1:14">
      <c r="A124" s="1" t="s">
        <v>177</v>
      </c>
      <c r="B124" s="1">
        <v>248</v>
      </c>
      <c r="C124" s="1">
        <v>31</v>
      </c>
      <c r="D124" s="3" t="str">
        <f>IFERROR(VLOOKUP($C124,merchants!$A$1:$D$41,2,FALSE),"Merchant not found")</f>
        <v>Merchant_031</v>
      </c>
      <c r="E124" s="3" t="str">
        <f>IFERROR(VLOOKUP($C124,merchants!$A$1:$D$41,3,FALSE),"Merchant not found")</f>
        <v>bill_payment</v>
      </c>
      <c r="F124" s="3" t="str">
        <f>IFERROR(VLOOKUP($C124,merchants!$A$1:$D$41,4,FALSE),"Merchant not found")</f>
        <v>East</v>
      </c>
      <c r="G124" s="5">
        <v>46031.5784722222</v>
      </c>
      <c r="H124" s="1">
        <v>1499</v>
      </c>
      <c r="I124" s="1" t="s">
        <v>52</v>
      </c>
      <c r="J124" s="1" t="s">
        <v>65</v>
      </c>
      <c r="K124" s="1">
        <v>31</v>
      </c>
      <c r="L124" s="6">
        <f>IFERROR(HLOOKUP($I124,Reference!$B$1:$E$2,2,FALSE),0)</f>
        <v>0</v>
      </c>
      <c r="M124" s="7">
        <f t="shared" si="0"/>
        <v>46031</v>
      </c>
      <c r="N124" s="3" t="str">
        <f t="shared" si="1"/>
        <v>Regular</v>
      </c>
    </row>
    <row r="125" customHeight="1" spans="1:14">
      <c r="A125" s="1" t="s">
        <v>178</v>
      </c>
      <c r="B125" s="1">
        <v>197</v>
      </c>
      <c r="C125" s="1">
        <v>13</v>
      </c>
      <c r="D125" s="3" t="str">
        <f>IFERROR(VLOOKUP($C125,merchants!$A$1:$D$41,2,FALSE),"Merchant not found")</f>
        <v>Merchant_013</v>
      </c>
      <c r="E125" s="3" t="str">
        <f>IFERROR(VLOOKUP($C125,merchants!$A$1:$D$41,3,FALSE),"Merchant not found")</f>
        <v>travel</v>
      </c>
      <c r="F125" s="3" t="str">
        <f>IFERROR(VLOOKUP($C125,merchants!$A$1:$D$41,4,FALSE),"Merchant not found")</f>
        <v>East</v>
      </c>
      <c r="G125" s="5">
        <v>46037.7145833333</v>
      </c>
      <c r="H125" s="1">
        <v>49</v>
      </c>
      <c r="I125" s="1" t="s">
        <v>52</v>
      </c>
      <c r="J125" s="1" t="s">
        <v>50</v>
      </c>
      <c r="K125" s="1">
        <v>76</v>
      </c>
      <c r="L125" s="6">
        <f>IFERROR(HLOOKUP($I125,Reference!$B$1:$E$2,2,FALSE),0)</f>
        <v>0</v>
      </c>
      <c r="M125" s="7">
        <f t="shared" si="0"/>
        <v>46037</v>
      </c>
      <c r="N125" s="3" t="str">
        <f t="shared" si="1"/>
        <v>Regular</v>
      </c>
    </row>
    <row r="126" customHeight="1" spans="1:14">
      <c r="A126" s="1" t="s">
        <v>179</v>
      </c>
      <c r="B126" s="1">
        <v>70</v>
      </c>
      <c r="C126" s="1">
        <v>5</v>
      </c>
      <c r="D126" s="3" t="str">
        <f>IFERROR(VLOOKUP($C126,merchants!$A$1:$D$41,2,FALSE),"Merchant not found")</f>
        <v>Merchant_005</v>
      </c>
      <c r="E126" s="3" t="str">
        <f>IFERROR(VLOOKUP($C126,merchants!$A$1:$D$41,3,FALSE),"Merchant not found")</f>
        <v>recharge</v>
      </c>
      <c r="F126" s="3" t="str">
        <f>IFERROR(VLOOKUP($C126,merchants!$A$1:$D$41,4,FALSE),"Merchant not found")</f>
        <v>South</v>
      </c>
      <c r="G126" s="5">
        <v>46039.9972222222</v>
      </c>
      <c r="H126" s="1">
        <v>499</v>
      </c>
      <c r="I126" s="1" t="s">
        <v>52</v>
      </c>
      <c r="J126" s="1" t="s">
        <v>50</v>
      </c>
      <c r="K126" s="1">
        <v>35</v>
      </c>
      <c r="L126" s="6">
        <f>IFERROR(HLOOKUP($I126,Reference!$B$1:$E$2,2,FALSE),0)</f>
        <v>0</v>
      </c>
      <c r="M126" s="7">
        <f t="shared" si="0"/>
        <v>46039</v>
      </c>
      <c r="N126" s="3" t="str">
        <f t="shared" si="1"/>
        <v>Regular</v>
      </c>
    </row>
    <row r="127" customHeight="1" spans="1:14">
      <c r="A127" s="1" t="s">
        <v>180</v>
      </c>
      <c r="B127" s="1">
        <v>260</v>
      </c>
      <c r="C127" s="1">
        <v>18</v>
      </c>
      <c r="D127" s="3" t="str">
        <f>IFERROR(VLOOKUP($C127,merchants!$A$1:$D$41,2,FALSE),"Merchant not found")</f>
        <v>Merchant_018</v>
      </c>
      <c r="E127" s="3" t="str">
        <f>IFERROR(VLOOKUP($C127,merchants!$A$1:$D$41,3,FALSE),"Merchant not found")</f>
        <v>grocery</v>
      </c>
      <c r="F127" s="3" t="str">
        <f>IFERROR(VLOOKUP($C127,merchants!$A$1:$D$41,4,FALSE),"Merchant not found")</f>
        <v>West</v>
      </c>
      <c r="G127" s="5">
        <v>46047.55625</v>
      </c>
      <c r="H127" s="1">
        <v>1499</v>
      </c>
      <c r="I127" s="1" t="s">
        <v>52</v>
      </c>
      <c r="J127" s="1" t="s">
        <v>50</v>
      </c>
      <c r="K127" s="1">
        <v>0</v>
      </c>
      <c r="L127" s="6">
        <f>IFERROR(HLOOKUP($I127,Reference!$B$1:$E$2,2,FALSE),0)</f>
        <v>0</v>
      </c>
      <c r="M127" s="7">
        <f t="shared" si="0"/>
        <v>46047</v>
      </c>
      <c r="N127" s="3" t="str">
        <f t="shared" si="1"/>
        <v>Regular</v>
      </c>
    </row>
    <row r="128" customHeight="1" spans="1:14">
      <c r="A128" s="1" t="s">
        <v>181</v>
      </c>
      <c r="B128" s="1">
        <v>301</v>
      </c>
      <c r="C128" s="1">
        <v>38</v>
      </c>
      <c r="D128" s="3" t="str">
        <f>IFERROR(VLOOKUP($C128,merchants!$A$1:$D$41,2,FALSE),"Merchant not found")</f>
        <v>Merchant_038</v>
      </c>
      <c r="E128" s="3" t="str">
        <f>IFERROR(VLOOKUP($C128,merchants!$A$1:$D$41,3,FALSE),"Merchant not found")</f>
        <v>grocery</v>
      </c>
      <c r="F128" s="3" t="str">
        <f>IFERROR(VLOOKUP($C128,merchants!$A$1:$D$41,4,FALSE),"Merchant not found")</f>
        <v>East</v>
      </c>
      <c r="G128" s="5">
        <v>46032.9715277778</v>
      </c>
      <c r="H128" s="1">
        <v>99</v>
      </c>
      <c r="I128" s="1" t="s">
        <v>52</v>
      </c>
      <c r="J128" s="1" t="s">
        <v>50</v>
      </c>
      <c r="K128" s="1">
        <v>84</v>
      </c>
      <c r="L128" s="6">
        <f>IFERROR(HLOOKUP($I128,Reference!$B$1:$E$2,2,FALSE),0)</f>
        <v>0</v>
      </c>
      <c r="M128" s="7">
        <f t="shared" si="0"/>
        <v>46032</v>
      </c>
      <c r="N128" s="3" t="str">
        <f t="shared" si="1"/>
        <v>Regular</v>
      </c>
    </row>
    <row r="129" customHeight="1" spans="1:14">
      <c r="A129" s="1" t="s">
        <v>182</v>
      </c>
      <c r="B129" s="1">
        <v>276</v>
      </c>
      <c r="C129" s="1">
        <v>31</v>
      </c>
      <c r="D129" s="3" t="str">
        <f>IFERROR(VLOOKUP($C129,merchants!$A$1:$D$41,2,FALSE),"Merchant not found")</f>
        <v>Merchant_031</v>
      </c>
      <c r="E129" s="3" t="str">
        <f>IFERROR(VLOOKUP($C129,merchants!$A$1:$D$41,3,FALSE),"Merchant not found")</f>
        <v>bill_payment</v>
      </c>
      <c r="F129" s="3" t="str">
        <f>IFERROR(VLOOKUP($C129,merchants!$A$1:$D$41,4,FALSE),"Merchant not found")</f>
        <v>East</v>
      </c>
      <c r="G129" s="5">
        <v>46038.1861111111</v>
      </c>
      <c r="H129" s="1">
        <v>499</v>
      </c>
      <c r="I129" s="1" t="s">
        <v>64</v>
      </c>
      <c r="J129" s="1" t="s">
        <v>50</v>
      </c>
      <c r="K129" s="1">
        <v>44</v>
      </c>
      <c r="L129" s="6">
        <f>IFERROR(HLOOKUP($I129,Reference!$B$1:$E$2,2,FALSE),0)</f>
        <v>0.02</v>
      </c>
      <c r="M129" s="7">
        <f t="shared" si="0"/>
        <v>46038</v>
      </c>
      <c r="N129" s="3" t="str">
        <f t="shared" si="1"/>
        <v>Regular</v>
      </c>
    </row>
    <row r="130" customHeight="1" spans="1:14">
      <c r="A130" s="1" t="s">
        <v>183</v>
      </c>
      <c r="B130" s="1">
        <v>279</v>
      </c>
      <c r="C130" s="1">
        <v>25</v>
      </c>
      <c r="D130" s="3" t="str">
        <f>IFERROR(VLOOKUP($C130,merchants!$A$1:$D$41,2,FALSE),"Merchant not found")</f>
        <v>Merchant_025</v>
      </c>
      <c r="E130" s="3" t="str">
        <f>IFERROR(VLOOKUP($C130,merchants!$A$1:$D$41,3,FALSE),"Merchant not found")</f>
        <v>travel</v>
      </c>
      <c r="F130" s="3" t="str">
        <f>IFERROR(VLOOKUP($C130,merchants!$A$1:$D$41,4,FALSE),"Merchant not found")</f>
        <v>South</v>
      </c>
      <c r="G130" s="5">
        <v>46033.7416666667</v>
      </c>
      <c r="H130" s="1">
        <v>799</v>
      </c>
      <c r="I130" s="1" t="s">
        <v>52</v>
      </c>
      <c r="J130" s="1" t="s">
        <v>50</v>
      </c>
      <c r="K130" s="1">
        <v>58</v>
      </c>
      <c r="L130" s="6">
        <f>IFERROR(HLOOKUP($I130,Reference!$B$1:$E$2,2,FALSE),0)</f>
        <v>0</v>
      </c>
      <c r="M130" s="7">
        <f t="shared" si="0"/>
        <v>46033</v>
      </c>
      <c r="N130" s="3" t="str">
        <f t="shared" si="1"/>
        <v>Regular</v>
      </c>
    </row>
    <row r="131" customHeight="1" spans="1:14">
      <c r="A131" s="1" t="s">
        <v>184</v>
      </c>
      <c r="B131" s="1">
        <v>97</v>
      </c>
      <c r="C131" s="1">
        <v>16</v>
      </c>
      <c r="D131" s="3" t="str">
        <f>IFERROR(VLOOKUP($C131,merchants!$A$1:$D$41,2,FALSE),"Merchant not found")</f>
        <v>Merchant_016</v>
      </c>
      <c r="E131" s="3" t="str">
        <f>IFERROR(VLOOKUP($C131,merchants!$A$1:$D$41,3,FALSE),"Merchant not found")</f>
        <v>bill_payment</v>
      </c>
      <c r="F131" s="3" t="str">
        <f>IFERROR(VLOOKUP($C131,merchants!$A$1:$D$41,4,FALSE),"Merchant not found")</f>
        <v>West</v>
      </c>
      <c r="G131" s="5">
        <v>46052.4548611111</v>
      </c>
      <c r="H131" s="1">
        <v>799</v>
      </c>
      <c r="I131" s="1" t="s">
        <v>64</v>
      </c>
      <c r="J131" s="1" t="s">
        <v>50</v>
      </c>
      <c r="K131" s="1">
        <v>73</v>
      </c>
      <c r="L131" s="6">
        <f>IFERROR(HLOOKUP($I131,Reference!$B$1:$E$2,2,FALSE),0)</f>
        <v>0.02</v>
      </c>
      <c r="M131" s="7">
        <f t="shared" si="0"/>
        <v>46052</v>
      </c>
      <c r="N131" s="3" t="str">
        <f t="shared" si="1"/>
        <v>Regular</v>
      </c>
    </row>
    <row r="132" customHeight="1" spans="1:14">
      <c r="A132" s="1" t="s">
        <v>185</v>
      </c>
      <c r="B132" s="1">
        <v>211</v>
      </c>
      <c r="C132" s="1">
        <v>3</v>
      </c>
      <c r="D132" s="3" t="str">
        <f>IFERROR(VLOOKUP($C132,merchants!$A$1:$D$41,2,FALSE),"Merchant not found")</f>
        <v>Merchant_003</v>
      </c>
      <c r="E132" s="3" t="str">
        <f>IFERROR(VLOOKUP($C132,merchants!$A$1:$D$41,3,FALSE),"Merchant not found")</f>
        <v>grocery</v>
      </c>
      <c r="F132" s="3" t="str">
        <f>IFERROR(VLOOKUP($C132,merchants!$A$1:$D$41,4,FALSE),"Merchant not found")</f>
        <v>East</v>
      </c>
      <c r="G132" s="5">
        <v>46035.3291666667</v>
      </c>
      <c r="H132" s="1">
        <v>149</v>
      </c>
      <c r="I132" s="1" t="s">
        <v>52</v>
      </c>
      <c r="J132" s="1" t="s">
        <v>78</v>
      </c>
      <c r="K132" s="1">
        <v>40</v>
      </c>
      <c r="L132" s="6">
        <f>IFERROR(HLOOKUP($I132,Reference!$B$1:$E$2,2,FALSE),0)</f>
        <v>0</v>
      </c>
      <c r="M132" s="7">
        <f t="shared" si="0"/>
        <v>46035</v>
      </c>
      <c r="N132" s="3" t="str">
        <f t="shared" si="1"/>
        <v>Regular</v>
      </c>
    </row>
    <row r="133" customHeight="1" spans="1:14">
      <c r="A133" s="1" t="s">
        <v>186</v>
      </c>
      <c r="B133" s="1">
        <v>196</v>
      </c>
      <c r="C133" s="1">
        <v>25</v>
      </c>
      <c r="D133" s="3" t="str">
        <f>IFERROR(VLOOKUP($C133,merchants!$A$1:$D$41,2,FALSE),"Merchant not found")</f>
        <v>Merchant_025</v>
      </c>
      <c r="E133" s="3" t="str">
        <f>IFERROR(VLOOKUP($C133,merchants!$A$1:$D$41,3,FALSE),"Merchant not found")</f>
        <v>travel</v>
      </c>
      <c r="F133" s="3" t="str">
        <f>IFERROR(VLOOKUP($C133,merchants!$A$1:$D$41,4,FALSE),"Merchant not found")</f>
        <v>South</v>
      </c>
      <c r="G133" s="5">
        <v>46046.65625</v>
      </c>
      <c r="H133" s="1">
        <v>149</v>
      </c>
      <c r="I133" s="1" t="s">
        <v>55</v>
      </c>
      <c r="J133" s="1" t="s">
        <v>50</v>
      </c>
      <c r="K133" s="1">
        <v>84</v>
      </c>
      <c r="L133" s="6">
        <f>IFERROR(HLOOKUP($I133,Reference!$B$1:$E$2,2,FALSE),0)</f>
        <v>0.01</v>
      </c>
      <c r="M133" s="7">
        <f t="shared" si="0"/>
        <v>46046</v>
      </c>
      <c r="N133" s="3" t="str">
        <f t="shared" si="1"/>
        <v>Regular</v>
      </c>
    </row>
    <row r="134" customHeight="1" spans="1:14">
      <c r="A134" s="1" t="s">
        <v>187</v>
      </c>
      <c r="B134" s="1">
        <v>254</v>
      </c>
      <c r="C134" s="1">
        <v>3</v>
      </c>
      <c r="D134" s="3" t="str">
        <f>IFERROR(VLOOKUP($C134,merchants!$A$1:$D$41,2,FALSE),"Merchant not found")</f>
        <v>Merchant_003</v>
      </c>
      <c r="E134" s="3" t="str">
        <f>IFERROR(VLOOKUP($C134,merchants!$A$1:$D$41,3,FALSE),"Merchant not found")</f>
        <v>grocery</v>
      </c>
      <c r="F134" s="3" t="str">
        <f>IFERROR(VLOOKUP($C134,merchants!$A$1:$D$41,4,FALSE),"Merchant not found")</f>
        <v>East</v>
      </c>
      <c r="G134" s="5">
        <v>46048.8395833333</v>
      </c>
      <c r="H134" s="1">
        <v>149</v>
      </c>
      <c r="I134" s="1" t="s">
        <v>64</v>
      </c>
      <c r="J134" s="1" t="s">
        <v>50</v>
      </c>
      <c r="K134" s="1">
        <v>16</v>
      </c>
      <c r="L134" s="6">
        <f>IFERROR(HLOOKUP($I134,Reference!$B$1:$E$2,2,FALSE),0)</f>
        <v>0.02</v>
      </c>
      <c r="M134" s="7">
        <f t="shared" si="0"/>
        <v>46048</v>
      </c>
      <c r="N134" s="3" t="str">
        <f t="shared" si="1"/>
        <v>Regular</v>
      </c>
    </row>
    <row r="135" customHeight="1" spans="1:14">
      <c r="A135" s="1" t="s">
        <v>188</v>
      </c>
      <c r="B135" s="1">
        <v>52</v>
      </c>
      <c r="C135" s="1">
        <v>29</v>
      </c>
      <c r="D135" s="3" t="str">
        <f>IFERROR(VLOOKUP($C135,merchants!$A$1:$D$41,2,FALSE),"Merchant not found")</f>
        <v>Merchant_029</v>
      </c>
      <c r="E135" s="3" t="str">
        <f>IFERROR(VLOOKUP($C135,merchants!$A$1:$D$41,3,FALSE),"Merchant not found")</f>
        <v>ecommerce</v>
      </c>
      <c r="F135" s="3" t="str">
        <f>IFERROR(VLOOKUP($C135,merchants!$A$1:$D$41,4,FALSE),"Merchant not found")</f>
        <v>North</v>
      </c>
      <c r="G135" s="5">
        <v>46039.7645833333</v>
      </c>
      <c r="H135" s="1">
        <v>49</v>
      </c>
      <c r="I135" s="1" t="s">
        <v>55</v>
      </c>
      <c r="J135" s="1" t="s">
        <v>50</v>
      </c>
      <c r="K135" s="1">
        <v>12</v>
      </c>
      <c r="L135" s="6">
        <f>IFERROR(HLOOKUP($I135,Reference!$B$1:$E$2,2,FALSE),0)</f>
        <v>0.01</v>
      </c>
      <c r="M135" s="7">
        <f t="shared" si="0"/>
        <v>46039</v>
      </c>
      <c r="N135" s="3" t="str">
        <f t="shared" si="1"/>
        <v>Regular</v>
      </c>
    </row>
    <row r="136" customHeight="1" spans="1:14">
      <c r="A136" s="1" t="s">
        <v>189</v>
      </c>
      <c r="B136" s="1">
        <v>74</v>
      </c>
      <c r="C136" s="1">
        <v>27</v>
      </c>
      <c r="D136" s="3" t="str">
        <f>IFERROR(VLOOKUP($C136,merchants!$A$1:$D$41,2,FALSE),"Merchant not found")</f>
        <v>Merchant_027</v>
      </c>
      <c r="E136" s="3" t="str">
        <f>IFERROR(VLOOKUP($C136,merchants!$A$1:$D$41,3,FALSE),"Merchant not found")</f>
        <v>ecommerce</v>
      </c>
      <c r="F136" s="3" t="str">
        <f>IFERROR(VLOOKUP($C136,merchants!$A$1:$D$41,4,FALSE),"Merchant not found")</f>
        <v>North</v>
      </c>
      <c r="G136" s="5">
        <v>46039.5833333333</v>
      </c>
      <c r="H136" s="1">
        <v>799</v>
      </c>
      <c r="I136" s="1" t="s">
        <v>52</v>
      </c>
      <c r="J136" s="1" t="s">
        <v>50</v>
      </c>
      <c r="K136" s="1">
        <v>83</v>
      </c>
      <c r="L136" s="6">
        <f>IFERROR(HLOOKUP($I136,Reference!$B$1:$E$2,2,FALSE),0)</f>
        <v>0</v>
      </c>
      <c r="M136" s="7">
        <f t="shared" si="0"/>
        <v>46039</v>
      </c>
      <c r="N136" s="3" t="str">
        <f t="shared" si="1"/>
        <v>Regular</v>
      </c>
    </row>
    <row r="137" customHeight="1" spans="1:14">
      <c r="A137" s="1" t="s">
        <v>190</v>
      </c>
      <c r="B137" s="1">
        <v>136</v>
      </c>
      <c r="C137" s="1">
        <v>22</v>
      </c>
      <c r="D137" s="3" t="str">
        <f>IFERROR(VLOOKUP($C137,merchants!$A$1:$D$41,2,FALSE),"Merchant not found")</f>
        <v>Merchant_022</v>
      </c>
      <c r="E137" s="3" t="str">
        <f>IFERROR(VLOOKUP($C137,merchants!$A$1:$D$41,3,FALSE),"Merchant not found")</f>
        <v>travel</v>
      </c>
      <c r="F137" s="3" t="str">
        <f>IFERROR(VLOOKUP($C137,merchants!$A$1:$D$41,4,FALSE),"Merchant not found")</f>
        <v>South</v>
      </c>
      <c r="G137" s="5">
        <v>46027.1041666667</v>
      </c>
      <c r="H137" s="1">
        <v>149</v>
      </c>
      <c r="I137" s="1" t="s">
        <v>52</v>
      </c>
      <c r="J137" s="1" t="s">
        <v>50</v>
      </c>
      <c r="K137" s="1">
        <v>79</v>
      </c>
      <c r="L137" s="6">
        <f>IFERROR(HLOOKUP($I137,Reference!$B$1:$E$2,2,FALSE),0)</f>
        <v>0</v>
      </c>
      <c r="M137" s="7">
        <f t="shared" si="0"/>
        <v>46027</v>
      </c>
      <c r="N137" s="3" t="str">
        <f t="shared" si="1"/>
        <v>Regular</v>
      </c>
    </row>
    <row r="138" customHeight="1" spans="1:14">
      <c r="A138" s="1" t="s">
        <v>191</v>
      </c>
      <c r="B138" s="1">
        <v>42</v>
      </c>
      <c r="C138" s="1">
        <v>22</v>
      </c>
      <c r="D138" s="3" t="str">
        <f>IFERROR(VLOOKUP($C138,merchants!$A$1:$D$41,2,FALSE),"Merchant not found")</f>
        <v>Merchant_022</v>
      </c>
      <c r="E138" s="3" t="str">
        <f>IFERROR(VLOOKUP($C138,merchants!$A$1:$D$41,3,FALSE),"Merchant not found")</f>
        <v>travel</v>
      </c>
      <c r="F138" s="3" t="str">
        <f>IFERROR(VLOOKUP($C138,merchants!$A$1:$D$41,4,FALSE),"Merchant not found")</f>
        <v>South</v>
      </c>
      <c r="G138" s="5">
        <v>46045.5284722222</v>
      </c>
      <c r="H138" s="1">
        <v>49</v>
      </c>
      <c r="I138" s="1" t="s">
        <v>52</v>
      </c>
      <c r="J138" s="1" t="s">
        <v>50</v>
      </c>
      <c r="K138" s="1">
        <v>86</v>
      </c>
      <c r="L138" s="6">
        <f>IFERROR(HLOOKUP($I138,Reference!$B$1:$E$2,2,FALSE),0)</f>
        <v>0</v>
      </c>
      <c r="M138" s="7">
        <f t="shared" si="0"/>
        <v>46045</v>
      </c>
      <c r="N138" s="3" t="str">
        <f t="shared" si="1"/>
        <v>Regular</v>
      </c>
    </row>
    <row r="139" customHeight="1" spans="1:14">
      <c r="A139" s="1" t="s">
        <v>192</v>
      </c>
      <c r="B139" s="1">
        <v>163</v>
      </c>
      <c r="C139" s="1">
        <v>32</v>
      </c>
      <c r="D139" s="3" t="str">
        <f>IFERROR(VLOOKUP($C139,merchants!$A$1:$D$41,2,FALSE),"Merchant not found")</f>
        <v>Merchant_032</v>
      </c>
      <c r="E139" s="3" t="str">
        <f>IFERROR(VLOOKUP($C139,merchants!$A$1:$D$41,3,FALSE),"Merchant not found")</f>
        <v>food_delivery</v>
      </c>
      <c r="F139" s="3" t="str">
        <f>IFERROR(VLOOKUP($C139,merchants!$A$1:$D$41,4,FALSE),"Merchant not found")</f>
        <v>West</v>
      </c>
      <c r="G139" s="5">
        <v>46050.725</v>
      </c>
      <c r="H139" s="1">
        <v>2999</v>
      </c>
      <c r="I139" s="1" t="s">
        <v>49</v>
      </c>
      <c r="J139" s="1" t="s">
        <v>65</v>
      </c>
      <c r="K139" s="1">
        <v>69</v>
      </c>
      <c r="L139" s="6">
        <f>IFERROR(HLOOKUP($I139,Reference!$B$1:$E$2,2,FALSE),0)</f>
        <v>0.015</v>
      </c>
      <c r="M139" s="7">
        <f t="shared" si="0"/>
        <v>46050</v>
      </c>
      <c r="N139" s="3" t="str">
        <f t="shared" si="1"/>
        <v>Regular</v>
      </c>
    </row>
    <row r="140" customHeight="1" spans="1:14">
      <c r="A140" s="1" t="s">
        <v>193</v>
      </c>
      <c r="B140" s="1">
        <v>121</v>
      </c>
      <c r="C140" s="1">
        <v>19</v>
      </c>
      <c r="D140" s="3" t="str">
        <f>IFERROR(VLOOKUP($C140,merchants!$A$1:$D$41,2,FALSE),"Merchant not found")</f>
        <v>Merchant_019</v>
      </c>
      <c r="E140" s="3" t="str">
        <f>IFERROR(VLOOKUP($C140,merchants!$A$1:$D$41,3,FALSE),"Merchant not found")</f>
        <v>grocery</v>
      </c>
      <c r="F140" s="3" t="str">
        <f>IFERROR(VLOOKUP($C140,merchants!$A$1:$D$41,4,FALSE),"Merchant not found")</f>
        <v>North</v>
      </c>
      <c r="G140" s="5">
        <v>46024.7944444444</v>
      </c>
      <c r="H140" s="1">
        <v>149</v>
      </c>
      <c r="I140" s="1" t="s">
        <v>52</v>
      </c>
      <c r="J140" s="1" t="s">
        <v>50</v>
      </c>
      <c r="K140" s="1">
        <v>29</v>
      </c>
      <c r="L140" s="6">
        <f>IFERROR(HLOOKUP($I140,Reference!$B$1:$E$2,2,FALSE),0)</f>
        <v>0</v>
      </c>
      <c r="M140" s="7">
        <f t="shared" si="0"/>
        <v>46024</v>
      </c>
      <c r="N140" s="3" t="str">
        <f t="shared" si="1"/>
        <v>Regular</v>
      </c>
    </row>
    <row r="141" customHeight="1" spans="1:14">
      <c r="A141" s="1" t="s">
        <v>194</v>
      </c>
      <c r="B141" s="1">
        <v>51</v>
      </c>
      <c r="C141" s="1">
        <v>7</v>
      </c>
      <c r="D141" s="3" t="str">
        <f>IFERROR(VLOOKUP($C141,merchants!$A$1:$D$41,2,FALSE),"Merchant not found")</f>
        <v>Merchant_007</v>
      </c>
      <c r="E141" s="3" t="str">
        <f>IFERROR(VLOOKUP($C141,merchants!$A$1:$D$41,3,FALSE),"Merchant not found")</f>
        <v>food_delivery</v>
      </c>
      <c r="F141" s="3" t="str">
        <f>IFERROR(VLOOKUP($C141,merchants!$A$1:$D$41,4,FALSE),"Merchant not found")</f>
        <v>East</v>
      </c>
      <c r="G141" s="5">
        <v>46046.1020833333</v>
      </c>
      <c r="H141" s="1">
        <v>499</v>
      </c>
      <c r="I141" s="1" t="s">
        <v>64</v>
      </c>
      <c r="J141" s="1" t="s">
        <v>50</v>
      </c>
      <c r="K141" s="1">
        <v>56</v>
      </c>
      <c r="L141" s="6">
        <f>IFERROR(HLOOKUP($I141,Reference!$B$1:$E$2,2,FALSE),0)</f>
        <v>0.02</v>
      </c>
      <c r="M141" s="7">
        <f t="shared" si="0"/>
        <v>46046</v>
      </c>
      <c r="N141" s="3" t="str">
        <f t="shared" si="1"/>
        <v>Regular</v>
      </c>
    </row>
    <row r="142" customHeight="1" spans="1:14">
      <c r="A142" s="1" t="s">
        <v>195</v>
      </c>
      <c r="B142" s="1">
        <v>15</v>
      </c>
      <c r="C142" s="1">
        <v>3</v>
      </c>
      <c r="D142" s="3" t="str">
        <f>IFERROR(VLOOKUP($C142,merchants!$A$1:$D$41,2,FALSE),"Merchant not found")</f>
        <v>Merchant_003</v>
      </c>
      <c r="E142" s="3" t="str">
        <f>IFERROR(VLOOKUP($C142,merchants!$A$1:$D$41,3,FALSE),"Merchant not found")</f>
        <v>grocery</v>
      </c>
      <c r="F142" s="3" t="str">
        <f>IFERROR(VLOOKUP($C142,merchants!$A$1:$D$41,4,FALSE),"Merchant not found")</f>
        <v>East</v>
      </c>
      <c r="G142" s="5">
        <v>46028.9298611111</v>
      </c>
      <c r="H142" s="1">
        <v>799</v>
      </c>
      <c r="I142" s="1" t="s">
        <v>52</v>
      </c>
      <c r="J142" s="1" t="s">
        <v>50</v>
      </c>
      <c r="K142" s="1">
        <v>41</v>
      </c>
      <c r="L142" s="6">
        <f>IFERROR(HLOOKUP($I142,Reference!$B$1:$E$2,2,FALSE),0)</f>
        <v>0</v>
      </c>
      <c r="M142" s="7">
        <f t="shared" si="0"/>
        <v>46028</v>
      </c>
      <c r="N142" s="3" t="str">
        <f t="shared" si="1"/>
        <v>Regular</v>
      </c>
    </row>
    <row r="143" customHeight="1" spans="1:14">
      <c r="A143" s="1" t="s">
        <v>196</v>
      </c>
      <c r="B143" s="1">
        <v>184</v>
      </c>
      <c r="C143" s="1">
        <v>24</v>
      </c>
      <c r="D143" s="3" t="str">
        <f>IFERROR(VLOOKUP($C143,merchants!$A$1:$D$41,2,FALSE),"Merchant not found")</f>
        <v>Merchant_024</v>
      </c>
      <c r="E143" s="3" t="str">
        <f>IFERROR(VLOOKUP($C143,merchants!$A$1:$D$41,3,FALSE),"Merchant not found")</f>
        <v>grocery</v>
      </c>
      <c r="F143" s="3" t="str">
        <f>IFERROR(VLOOKUP($C143,merchants!$A$1:$D$41,4,FALSE),"Merchant not found")</f>
        <v>North</v>
      </c>
      <c r="G143" s="5">
        <v>46048.0541666667</v>
      </c>
      <c r="H143" s="1">
        <v>49</v>
      </c>
      <c r="I143" s="1" t="s">
        <v>52</v>
      </c>
      <c r="J143" s="1" t="s">
        <v>50</v>
      </c>
      <c r="K143" s="1">
        <v>55</v>
      </c>
      <c r="L143" s="6">
        <f>IFERROR(HLOOKUP($I143,Reference!$B$1:$E$2,2,FALSE),0)</f>
        <v>0</v>
      </c>
      <c r="M143" s="7">
        <f t="shared" si="0"/>
        <v>46048</v>
      </c>
      <c r="N143" s="3" t="str">
        <f t="shared" si="1"/>
        <v>Regular</v>
      </c>
    </row>
    <row r="144" customHeight="1" spans="1:14">
      <c r="A144" s="1" t="s">
        <v>197</v>
      </c>
      <c r="B144" s="1">
        <v>211</v>
      </c>
      <c r="C144" s="1">
        <v>37</v>
      </c>
      <c r="D144" s="3" t="str">
        <f>IFERROR(VLOOKUP($C144,merchants!$A$1:$D$41,2,FALSE),"Merchant not found")</f>
        <v>Merchant_037</v>
      </c>
      <c r="E144" s="3" t="str">
        <f>IFERROR(VLOOKUP($C144,merchants!$A$1:$D$41,3,FALSE),"Merchant not found")</f>
        <v>entertainment</v>
      </c>
      <c r="F144" s="3" t="str">
        <f>IFERROR(VLOOKUP($C144,merchants!$A$1:$D$41,4,FALSE),"Merchant not found")</f>
        <v>South</v>
      </c>
      <c r="G144" s="5">
        <v>46027.3145833333</v>
      </c>
      <c r="H144" s="1">
        <v>1499</v>
      </c>
      <c r="I144" s="1" t="s">
        <v>52</v>
      </c>
      <c r="J144" s="1" t="s">
        <v>50</v>
      </c>
      <c r="K144" s="1">
        <v>87</v>
      </c>
      <c r="L144" s="6">
        <f>IFERROR(HLOOKUP($I144,Reference!$B$1:$E$2,2,FALSE),0)</f>
        <v>0</v>
      </c>
      <c r="M144" s="7">
        <f t="shared" si="0"/>
        <v>46027</v>
      </c>
      <c r="N144" s="3" t="str">
        <f t="shared" si="1"/>
        <v>Regular</v>
      </c>
    </row>
    <row r="145" customHeight="1" spans="1:14">
      <c r="A145" s="1" t="s">
        <v>198</v>
      </c>
      <c r="B145" s="1">
        <v>90</v>
      </c>
      <c r="C145" s="1">
        <v>6</v>
      </c>
      <c r="D145" s="3" t="str">
        <f>IFERROR(VLOOKUP($C145,merchants!$A$1:$D$41,2,FALSE),"Merchant not found")</f>
        <v>Merchant_006</v>
      </c>
      <c r="E145" s="3" t="str">
        <f>IFERROR(VLOOKUP($C145,merchants!$A$1:$D$41,3,FALSE),"Merchant not found")</f>
        <v>food_delivery</v>
      </c>
      <c r="F145" s="3" t="str">
        <f>IFERROR(VLOOKUP($C145,merchants!$A$1:$D$41,4,FALSE),"Merchant not found")</f>
        <v>South</v>
      </c>
      <c r="G145" s="5">
        <v>46048.2152777778</v>
      </c>
      <c r="H145" s="1">
        <v>49</v>
      </c>
      <c r="I145" s="1" t="s">
        <v>64</v>
      </c>
      <c r="J145" s="1" t="s">
        <v>50</v>
      </c>
      <c r="K145" s="1">
        <v>78</v>
      </c>
      <c r="L145" s="6">
        <f>IFERROR(HLOOKUP($I145,Reference!$B$1:$E$2,2,FALSE),0)</f>
        <v>0.02</v>
      </c>
      <c r="M145" s="7">
        <f t="shared" si="0"/>
        <v>46048</v>
      </c>
      <c r="N145" s="3" t="str">
        <f t="shared" si="1"/>
        <v>Regular</v>
      </c>
    </row>
    <row r="146" customHeight="1" spans="1:14">
      <c r="A146" s="1" t="s">
        <v>199</v>
      </c>
      <c r="B146" s="1">
        <v>350</v>
      </c>
      <c r="C146" s="1">
        <v>16</v>
      </c>
      <c r="D146" s="3" t="str">
        <f>IFERROR(VLOOKUP($C146,merchants!$A$1:$D$41,2,FALSE),"Merchant not found")</f>
        <v>Merchant_016</v>
      </c>
      <c r="E146" s="3" t="str">
        <f>IFERROR(VLOOKUP($C146,merchants!$A$1:$D$41,3,FALSE),"Merchant not found")</f>
        <v>bill_payment</v>
      </c>
      <c r="F146" s="3" t="str">
        <f>IFERROR(VLOOKUP($C146,merchants!$A$1:$D$41,4,FALSE),"Merchant not found")</f>
        <v>West</v>
      </c>
      <c r="G146" s="5">
        <v>46050.5270833333</v>
      </c>
      <c r="H146" s="1">
        <v>49</v>
      </c>
      <c r="I146" s="1" t="s">
        <v>52</v>
      </c>
      <c r="J146" s="1" t="s">
        <v>50</v>
      </c>
      <c r="K146" s="1">
        <v>63</v>
      </c>
      <c r="L146" s="6">
        <f>IFERROR(HLOOKUP($I146,Reference!$B$1:$E$2,2,FALSE),0)</f>
        <v>0</v>
      </c>
      <c r="M146" s="7">
        <f t="shared" si="0"/>
        <v>46050</v>
      </c>
      <c r="N146" s="3" t="str">
        <f t="shared" si="1"/>
        <v>Regular</v>
      </c>
    </row>
    <row r="147" customHeight="1" spans="1:14">
      <c r="A147" s="1" t="s">
        <v>200</v>
      </c>
      <c r="B147" s="1">
        <v>119</v>
      </c>
      <c r="C147" s="1">
        <v>30</v>
      </c>
      <c r="D147" s="3" t="str">
        <f>IFERROR(VLOOKUP($C147,merchants!$A$1:$D$41,2,FALSE),"Merchant not found")</f>
        <v>Merchant_030</v>
      </c>
      <c r="E147" s="3" t="str">
        <f>IFERROR(VLOOKUP($C147,merchants!$A$1:$D$41,3,FALSE),"Merchant not found")</f>
        <v>travel</v>
      </c>
      <c r="F147" s="3" t="str">
        <f>IFERROR(VLOOKUP($C147,merchants!$A$1:$D$41,4,FALSE),"Merchant not found")</f>
        <v>West</v>
      </c>
      <c r="G147" s="5">
        <v>46052.75625</v>
      </c>
      <c r="H147" s="1">
        <v>49</v>
      </c>
      <c r="I147" s="1" t="s">
        <v>64</v>
      </c>
      <c r="J147" s="1" t="s">
        <v>50</v>
      </c>
      <c r="K147" s="1">
        <v>81</v>
      </c>
      <c r="L147" s="6">
        <f>IFERROR(HLOOKUP($I147,Reference!$B$1:$E$2,2,FALSE),0)</f>
        <v>0.02</v>
      </c>
      <c r="M147" s="7">
        <f t="shared" si="0"/>
        <v>46052</v>
      </c>
      <c r="N147" s="3" t="str">
        <f t="shared" si="1"/>
        <v>Regular</v>
      </c>
    </row>
    <row r="148" customHeight="1" spans="1:14">
      <c r="A148" s="1" t="s">
        <v>201</v>
      </c>
      <c r="B148" s="1">
        <v>342</v>
      </c>
      <c r="C148" s="1">
        <v>1</v>
      </c>
      <c r="D148" s="3" t="str">
        <f>IFERROR(VLOOKUP($C148,merchants!$A$1:$D$41,2,FALSE),"Merchant not found")</f>
        <v>Merchant_001</v>
      </c>
      <c r="E148" s="3" t="str">
        <f>IFERROR(VLOOKUP($C148,merchants!$A$1:$D$41,3,FALSE),"Merchant not found")</f>
        <v>ecommerce</v>
      </c>
      <c r="F148" s="3" t="str">
        <f>IFERROR(VLOOKUP($C148,merchants!$A$1:$D$41,4,FALSE),"Merchant not found")</f>
        <v>South</v>
      </c>
      <c r="G148" s="5">
        <v>46031.5944444444</v>
      </c>
      <c r="H148" s="1">
        <v>49</v>
      </c>
      <c r="I148" s="1" t="s">
        <v>52</v>
      </c>
      <c r="J148" s="1" t="s">
        <v>50</v>
      </c>
      <c r="K148" s="1">
        <v>59</v>
      </c>
      <c r="L148" s="6">
        <f>IFERROR(HLOOKUP($I148,Reference!$B$1:$E$2,2,FALSE),0)</f>
        <v>0</v>
      </c>
      <c r="M148" s="7">
        <f t="shared" si="0"/>
        <v>46031</v>
      </c>
      <c r="N148" s="3" t="str">
        <f t="shared" si="1"/>
        <v>High-Value Merchant Day</v>
      </c>
    </row>
    <row r="149" customHeight="1" spans="1:14">
      <c r="A149" s="1" t="s">
        <v>202</v>
      </c>
      <c r="B149" s="1">
        <v>280</v>
      </c>
      <c r="C149" s="1">
        <v>11</v>
      </c>
      <c r="D149" s="3" t="str">
        <f>IFERROR(VLOOKUP($C149,merchants!$A$1:$D$41,2,FALSE),"Merchant not found")</f>
        <v>Merchant_011</v>
      </c>
      <c r="E149" s="3" t="str">
        <f>IFERROR(VLOOKUP($C149,merchants!$A$1:$D$41,3,FALSE),"Merchant not found")</f>
        <v>ecommerce</v>
      </c>
      <c r="F149" s="3" t="str">
        <f>IFERROR(VLOOKUP($C149,merchants!$A$1:$D$41,4,FALSE),"Merchant not found")</f>
        <v>North</v>
      </c>
      <c r="G149" s="5">
        <v>46051.4048611111</v>
      </c>
      <c r="H149" s="1">
        <v>149</v>
      </c>
      <c r="I149" s="1" t="s">
        <v>52</v>
      </c>
      <c r="J149" s="1" t="s">
        <v>78</v>
      </c>
      <c r="K149" s="1">
        <v>9</v>
      </c>
      <c r="L149" s="6">
        <f>IFERROR(HLOOKUP($I149,Reference!$B$1:$E$2,2,FALSE),0)</f>
        <v>0</v>
      </c>
      <c r="M149" s="7">
        <f t="shared" si="0"/>
        <v>46051</v>
      </c>
      <c r="N149" s="3" t="str">
        <f t="shared" si="1"/>
        <v>Regular</v>
      </c>
    </row>
    <row r="150" customHeight="1" spans="1:14">
      <c r="A150" s="1" t="s">
        <v>203</v>
      </c>
      <c r="B150" s="1">
        <v>154</v>
      </c>
      <c r="C150" s="1">
        <v>28</v>
      </c>
      <c r="D150" s="3" t="str">
        <f>IFERROR(VLOOKUP($C150,merchants!$A$1:$D$41,2,FALSE),"Merchant not found")</f>
        <v>Merchant_028</v>
      </c>
      <c r="E150" s="3" t="str">
        <f>IFERROR(VLOOKUP($C150,merchants!$A$1:$D$41,3,FALSE),"Merchant not found")</f>
        <v>ecommerce</v>
      </c>
      <c r="F150" s="3" t="str">
        <f>IFERROR(VLOOKUP($C150,merchants!$A$1:$D$41,4,FALSE),"Merchant not found")</f>
        <v>South</v>
      </c>
      <c r="G150" s="5">
        <v>46037.4840277778</v>
      </c>
      <c r="H150" s="1">
        <v>2999</v>
      </c>
      <c r="I150" s="1" t="s">
        <v>55</v>
      </c>
      <c r="J150" s="1" t="s">
        <v>50</v>
      </c>
      <c r="K150" s="1">
        <v>88</v>
      </c>
      <c r="L150" s="6">
        <f>IFERROR(HLOOKUP($I150,Reference!$B$1:$E$2,2,FALSE),0)</f>
        <v>0.01</v>
      </c>
      <c r="M150" s="7">
        <f t="shared" si="0"/>
        <v>46037</v>
      </c>
      <c r="N150" s="3" t="str">
        <f t="shared" si="1"/>
        <v>Regular</v>
      </c>
    </row>
    <row r="151" customHeight="1" spans="1:14">
      <c r="A151" s="1" t="s">
        <v>204</v>
      </c>
      <c r="B151" s="1">
        <v>155</v>
      </c>
      <c r="C151" s="1">
        <v>13</v>
      </c>
      <c r="D151" s="3" t="str">
        <f>IFERROR(VLOOKUP($C151,merchants!$A$1:$D$41,2,FALSE),"Merchant not found")</f>
        <v>Merchant_013</v>
      </c>
      <c r="E151" s="3" t="str">
        <f>IFERROR(VLOOKUP($C151,merchants!$A$1:$D$41,3,FALSE),"Merchant not found")</f>
        <v>travel</v>
      </c>
      <c r="F151" s="3" t="str">
        <f>IFERROR(VLOOKUP($C151,merchants!$A$1:$D$41,4,FALSE),"Merchant not found")</f>
        <v>East</v>
      </c>
      <c r="G151" s="5">
        <v>46031.6208333333</v>
      </c>
      <c r="H151" s="1">
        <v>149</v>
      </c>
      <c r="I151" s="1" t="s">
        <v>52</v>
      </c>
      <c r="J151" s="1" t="s">
        <v>50</v>
      </c>
      <c r="K151" s="1">
        <v>49</v>
      </c>
      <c r="L151" s="6">
        <f>IFERROR(HLOOKUP($I151,Reference!$B$1:$E$2,2,FALSE),0)</f>
        <v>0</v>
      </c>
      <c r="M151" s="7">
        <f t="shared" si="0"/>
        <v>46031</v>
      </c>
      <c r="N151" s="3" t="str">
        <f t="shared" si="1"/>
        <v>Regular</v>
      </c>
    </row>
    <row r="152" customHeight="1" spans="1:14">
      <c r="A152" s="1" t="s">
        <v>205</v>
      </c>
      <c r="B152" s="1">
        <v>122</v>
      </c>
      <c r="C152" s="1">
        <v>25</v>
      </c>
      <c r="D152" s="3" t="str">
        <f>IFERROR(VLOOKUP($C152,merchants!$A$1:$D$41,2,FALSE),"Merchant not found")</f>
        <v>Merchant_025</v>
      </c>
      <c r="E152" s="3" t="str">
        <f>IFERROR(VLOOKUP($C152,merchants!$A$1:$D$41,3,FALSE),"Merchant not found")</f>
        <v>travel</v>
      </c>
      <c r="F152" s="3" t="str">
        <f>IFERROR(VLOOKUP($C152,merchants!$A$1:$D$41,4,FALSE),"Merchant not found")</f>
        <v>South</v>
      </c>
      <c r="G152" s="5">
        <v>46050.6291666667</v>
      </c>
      <c r="H152" s="1">
        <v>299</v>
      </c>
      <c r="I152" s="1" t="s">
        <v>52</v>
      </c>
      <c r="J152" s="1" t="s">
        <v>50</v>
      </c>
      <c r="K152" s="1">
        <v>73</v>
      </c>
      <c r="L152" s="6">
        <f>IFERROR(HLOOKUP($I152,Reference!$B$1:$E$2,2,FALSE),0)</f>
        <v>0</v>
      </c>
      <c r="M152" s="7">
        <f t="shared" si="0"/>
        <v>46050</v>
      </c>
      <c r="N152" s="3" t="str">
        <f t="shared" si="1"/>
        <v>Regular</v>
      </c>
    </row>
    <row r="153" customHeight="1" spans="1:14">
      <c r="A153" s="1" t="s">
        <v>206</v>
      </c>
      <c r="B153" s="1">
        <v>152</v>
      </c>
      <c r="C153" s="1">
        <v>2</v>
      </c>
      <c r="D153" s="3" t="str">
        <f>IFERROR(VLOOKUP($C153,merchants!$A$1:$D$41,2,FALSE),"Merchant not found")</f>
        <v>Merchant_002</v>
      </c>
      <c r="E153" s="3" t="str">
        <f>IFERROR(VLOOKUP($C153,merchants!$A$1:$D$41,3,FALSE),"Merchant not found")</f>
        <v>grocery</v>
      </c>
      <c r="F153" s="3" t="str">
        <f>IFERROR(VLOOKUP($C153,merchants!$A$1:$D$41,4,FALSE),"Merchant not found")</f>
        <v>West</v>
      </c>
      <c r="G153" s="5">
        <v>46034.7625</v>
      </c>
      <c r="H153" s="1">
        <v>49</v>
      </c>
      <c r="I153" s="1" t="s">
        <v>52</v>
      </c>
      <c r="J153" s="1" t="s">
        <v>50</v>
      </c>
      <c r="K153" s="1">
        <v>84</v>
      </c>
      <c r="L153" s="6">
        <f>IFERROR(HLOOKUP($I153,Reference!$B$1:$E$2,2,FALSE),0)</f>
        <v>0</v>
      </c>
      <c r="M153" s="7">
        <f t="shared" si="0"/>
        <v>46034</v>
      </c>
      <c r="N153" s="3" t="str">
        <f t="shared" si="1"/>
        <v>Regular</v>
      </c>
    </row>
    <row r="154" customHeight="1" spans="1:14">
      <c r="A154" s="1" t="s">
        <v>207</v>
      </c>
      <c r="B154" s="1">
        <v>290</v>
      </c>
      <c r="C154" s="1">
        <v>4</v>
      </c>
      <c r="D154" s="3" t="str">
        <f>IFERROR(VLOOKUP($C154,merchants!$A$1:$D$41,2,FALSE),"Merchant not found")</f>
        <v>Merchant_004</v>
      </c>
      <c r="E154" s="3" t="str">
        <f>IFERROR(VLOOKUP($C154,merchants!$A$1:$D$41,3,FALSE),"Merchant not found")</f>
        <v>ecommerce</v>
      </c>
      <c r="F154" s="3" t="str">
        <f>IFERROR(VLOOKUP($C154,merchants!$A$1:$D$41,4,FALSE),"Merchant not found")</f>
        <v>East</v>
      </c>
      <c r="G154" s="5">
        <v>46035.3333333333</v>
      </c>
      <c r="H154" s="1">
        <v>149</v>
      </c>
      <c r="I154" s="1" t="s">
        <v>52</v>
      </c>
      <c r="J154" s="1" t="s">
        <v>50</v>
      </c>
      <c r="K154" s="1">
        <v>77</v>
      </c>
      <c r="L154" s="6">
        <f>IFERROR(HLOOKUP($I154,Reference!$B$1:$E$2,2,FALSE),0)</f>
        <v>0</v>
      </c>
      <c r="M154" s="7">
        <f t="shared" si="0"/>
        <v>46035</v>
      </c>
      <c r="N154" s="3" t="str">
        <f t="shared" si="1"/>
        <v>Regular</v>
      </c>
    </row>
    <row r="155" customHeight="1" spans="1:14">
      <c r="A155" s="1" t="s">
        <v>208</v>
      </c>
      <c r="B155" s="1">
        <v>147</v>
      </c>
      <c r="C155" s="1">
        <v>15</v>
      </c>
      <c r="D155" s="3" t="str">
        <f>IFERROR(VLOOKUP($C155,merchants!$A$1:$D$41,2,FALSE),"Merchant not found")</f>
        <v>Merchant_015</v>
      </c>
      <c r="E155" s="3" t="str">
        <f>IFERROR(VLOOKUP($C155,merchants!$A$1:$D$41,3,FALSE),"Merchant not found")</f>
        <v>travel</v>
      </c>
      <c r="F155" s="3" t="str">
        <f>IFERROR(VLOOKUP($C155,merchants!$A$1:$D$41,4,FALSE),"Merchant not found")</f>
        <v>North</v>
      </c>
      <c r="G155" s="5">
        <v>46046.6618055556</v>
      </c>
      <c r="H155" s="1">
        <v>49</v>
      </c>
      <c r="I155" s="1" t="s">
        <v>49</v>
      </c>
      <c r="J155" s="1" t="s">
        <v>50</v>
      </c>
      <c r="K155" s="1">
        <v>77</v>
      </c>
      <c r="L155" s="6">
        <f>IFERROR(HLOOKUP($I155,Reference!$B$1:$E$2,2,FALSE),0)</f>
        <v>0.015</v>
      </c>
      <c r="M155" s="7">
        <f t="shared" si="0"/>
        <v>46046</v>
      </c>
      <c r="N155" s="3" t="str">
        <f t="shared" si="1"/>
        <v>Regular</v>
      </c>
    </row>
    <row r="156" customHeight="1" spans="1:14">
      <c r="A156" s="1" t="s">
        <v>209</v>
      </c>
      <c r="B156" s="1">
        <v>326</v>
      </c>
      <c r="C156" s="1">
        <v>13</v>
      </c>
      <c r="D156" s="3" t="str">
        <f>IFERROR(VLOOKUP($C156,merchants!$A$1:$D$41,2,FALSE),"Merchant not found")</f>
        <v>Merchant_013</v>
      </c>
      <c r="E156" s="3" t="str">
        <f>IFERROR(VLOOKUP($C156,merchants!$A$1:$D$41,3,FALSE),"Merchant not found")</f>
        <v>travel</v>
      </c>
      <c r="F156" s="3" t="str">
        <f>IFERROR(VLOOKUP($C156,merchants!$A$1:$D$41,4,FALSE),"Merchant not found")</f>
        <v>East</v>
      </c>
      <c r="G156" s="5">
        <v>46048.4680555556</v>
      </c>
      <c r="H156" s="1">
        <v>299</v>
      </c>
      <c r="I156" s="1" t="s">
        <v>55</v>
      </c>
      <c r="J156" s="1" t="s">
        <v>50</v>
      </c>
      <c r="K156" s="1">
        <v>79</v>
      </c>
      <c r="L156" s="6">
        <f>IFERROR(HLOOKUP($I156,Reference!$B$1:$E$2,2,FALSE),0)</f>
        <v>0.01</v>
      </c>
      <c r="M156" s="7">
        <f t="shared" si="0"/>
        <v>46048</v>
      </c>
      <c r="N156" s="3" t="str">
        <f t="shared" si="1"/>
        <v>Regular</v>
      </c>
    </row>
    <row r="157" customHeight="1" spans="1:14">
      <c r="A157" s="1" t="s">
        <v>210</v>
      </c>
      <c r="B157" s="1">
        <v>338</v>
      </c>
      <c r="C157" s="1">
        <v>9</v>
      </c>
      <c r="D157" s="3" t="str">
        <f>IFERROR(VLOOKUP($C157,merchants!$A$1:$D$41,2,FALSE),"Merchant not found")</f>
        <v>Merchant_009</v>
      </c>
      <c r="E157" s="3" t="str">
        <f>IFERROR(VLOOKUP($C157,merchants!$A$1:$D$41,3,FALSE),"Merchant not found")</f>
        <v>ecommerce</v>
      </c>
      <c r="F157" s="3" t="str">
        <f>IFERROR(VLOOKUP($C157,merchants!$A$1:$D$41,4,FALSE),"Merchant not found")</f>
        <v>North</v>
      </c>
      <c r="G157" s="5">
        <v>46031.9083333333</v>
      </c>
      <c r="H157" s="1">
        <v>99</v>
      </c>
      <c r="I157" s="1" t="s">
        <v>64</v>
      </c>
      <c r="J157" s="1" t="s">
        <v>50</v>
      </c>
      <c r="K157" s="1">
        <v>80</v>
      </c>
      <c r="L157" s="6">
        <f>IFERROR(HLOOKUP($I157,Reference!$B$1:$E$2,2,FALSE),0)</f>
        <v>0.02</v>
      </c>
      <c r="M157" s="7">
        <f t="shared" si="0"/>
        <v>46031</v>
      </c>
      <c r="N157" s="3" t="str">
        <f t="shared" si="1"/>
        <v>Regular</v>
      </c>
    </row>
    <row r="158" customHeight="1" spans="1:14">
      <c r="A158" s="1" t="s">
        <v>211</v>
      </c>
      <c r="B158" s="1">
        <v>21</v>
      </c>
      <c r="C158" s="1">
        <v>20</v>
      </c>
      <c r="D158" s="3" t="str">
        <f>IFERROR(VLOOKUP($C158,merchants!$A$1:$D$41,2,FALSE),"Merchant not found")</f>
        <v>Merchant_020</v>
      </c>
      <c r="E158" s="3" t="str">
        <f>IFERROR(VLOOKUP($C158,merchants!$A$1:$D$41,3,FALSE),"Merchant not found")</f>
        <v>food_delivery</v>
      </c>
      <c r="F158" s="3" t="str">
        <f>IFERROR(VLOOKUP($C158,merchants!$A$1:$D$41,4,FALSE),"Merchant not found")</f>
        <v>East</v>
      </c>
      <c r="G158" s="5">
        <v>46026.8618055556</v>
      </c>
      <c r="H158" s="1">
        <v>2999</v>
      </c>
      <c r="I158" s="1" t="s">
        <v>52</v>
      </c>
      <c r="J158" s="1" t="s">
        <v>50</v>
      </c>
      <c r="K158" s="1">
        <v>100</v>
      </c>
      <c r="L158" s="6">
        <f>IFERROR(HLOOKUP($I158,Reference!$B$1:$E$2,2,FALSE),0)</f>
        <v>0</v>
      </c>
      <c r="M158" s="7">
        <f t="shared" si="0"/>
        <v>46026</v>
      </c>
      <c r="N158" s="3" t="str">
        <f t="shared" si="1"/>
        <v>Regular</v>
      </c>
    </row>
    <row r="159" customHeight="1" spans="1:14">
      <c r="A159" s="1" t="s">
        <v>212</v>
      </c>
      <c r="B159" s="1">
        <v>187</v>
      </c>
      <c r="C159" s="1">
        <v>9</v>
      </c>
      <c r="D159" s="3" t="str">
        <f>IFERROR(VLOOKUP($C159,merchants!$A$1:$D$41,2,FALSE),"Merchant not found")</f>
        <v>Merchant_009</v>
      </c>
      <c r="E159" s="3" t="str">
        <f>IFERROR(VLOOKUP($C159,merchants!$A$1:$D$41,3,FALSE),"Merchant not found")</f>
        <v>ecommerce</v>
      </c>
      <c r="F159" s="3" t="str">
        <f>IFERROR(VLOOKUP($C159,merchants!$A$1:$D$41,4,FALSE),"Merchant not found")</f>
        <v>North</v>
      </c>
      <c r="G159" s="5">
        <v>46037.0673611111</v>
      </c>
      <c r="H159" s="1">
        <v>49</v>
      </c>
      <c r="I159" s="1" t="s">
        <v>64</v>
      </c>
      <c r="J159" s="1" t="s">
        <v>65</v>
      </c>
      <c r="K159" s="1">
        <v>11</v>
      </c>
      <c r="L159" s="6">
        <f>IFERROR(HLOOKUP($I159,Reference!$B$1:$E$2,2,FALSE),0)</f>
        <v>0.02</v>
      </c>
      <c r="M159" s="7">
        <f t="shared" si="0"/>
        <v>46037</v>
      </c>
      <c r="N159" s="3" t="str">
        <f t="shared" si="1"/>
        <v>Regular</v>
      </c>
    </row>
    <row r="160" customHeight="1" spans="1:14">
      <c r="A160" s="1" t="s">
        <v>213</v>
      </c>
      <c r="B160" s="1">
        <v>213</v>
      </c>
      <c r="C160" s="1">
        <v>12</v>
      </c>
      <c r="D160" s="3" t="str">
        <f>IFERROR(VLOOKUP($C160,merchants!$A$1:$D$41,2,FALSE),"Merchant not found")</f>
        <v>Merchant_012</v>
      </c>
      <c r="E160" s="3" t="str">
        <f>IFERROR(VLOOKUP($C160,merchants!$A$1:$D$41,3,FALSE),"Merchant not found")</f>
        <v>ecommerce</v>
      </c>
      <c r="F160" s="3" t="str">
        <f>IFERROR(VLOOKUP($C160,merchants!$A$1:$D$41,4,FALSE),"Merchant not found")</f>
        <v>East</v>
      </c>
      <c r="G160" s="5">
        <v>46052.3888888889</v>
      </c>
      <c r="H160" s="1">
        <v>4999</v>
      </c>
      <c r="I160" s="1" t="s">
        <v>52</v>
      </c>
      <c r="J160" s="1" t="s">
        <v>50</v>
      </c>
      <c r="K160" s="1">
        <v>25</v>
      </c>
      <c r="L160" s="6">
        <f>IFERROR(HLOOKUP($I160,Reference!$B$1:$E$2,2,FALSE),0)</f>
        <v>0</v>
      </c>
      <c r="M160" s="7">
        <f t="shared" si="0"/>
        <v>46052</v>
      </c>
      <c r="N160" s="3" t="str">
        <f t="shared" si="1"/>
        <v>Regular</v>
      </c>
    </row>
    <row r="161" customHeight="1" spans="1:14">
      <c r="A161" s="1" t="s">
        <v>214</v>
      </c>
      <c r="B161" s="1">
        <v>188</v>
      </c>
      <c r="C161" s="1">
        <v>34</v>
      </c>
      <c r="D161" s="3" t="str">
        <f>IFERROR(VLOOKUP($C161,merchants!$A$1:$D$41,2,FALSE),"Merchant not found")</f>
        <v>Merchant_034</v>
      </c>
      <c r="E161" s="3" t="str">
        <f>IFERROR(VLOOKUP($C161,merchants!$A$1:$D$41,3,FALSE),"Merchant not found")</f>
        <v>travel</v>
      </c>
      <c r="F161" s="3" t="str">
        <f>IFERROR(VLOOKUP($C161,merchants!$A$1:$D$41,4,FALSE),"Merchant not found")</f>
        <v>South</v>
      </c>
      <c r="G161" s="5">
        <v>46027.7472222222</v>
      </c>
      <c r="H161" s="1">
        <v>2999</v>
      </c>
      <c r="I161" s="1" t="s">
        <v>52</v>
      </c>
      <c r="J161" s="1" t="s">
        <v>50</v>
      </c>
      <c r="K161" s="1">
        <v>64</v>
      </c>
      <c r="L161" s="6">
        <f>IFERROR(HLOOKUP($I161,Reference!$B$1:$E$2,2,FALSE),0)</f>
        <v>0</v>
      </c>
      <c r="M161" s="7">
        <f t="shared" si="0"/>
        <v>46027</v>
      </c>
      <c r="N161" s="3" t="str">
        <f t="shared" si="1"/>
        <v>Regular</v>
      </c>
    </row>
    <row r="162" customHeight="1" spans="1:14">
      <c r="A162" s="1" t="s">
        <v>215</v>
      </c>
      <c r="B162" s="1">
        <v>85</v>
      </c>
      <c r="C162" s="1">
        <v>17</v>
      </c>
      <c r="D162" s="3" t="str">
        <f>IFERROR(VLOOKUP($C162,merchants!$A$1:$D$41,2,FALSE),"Merchant not found")</f>
        <v>Merchant_017</v>
      </c>
      <c r="E162" s="3" t="str">
        <f>IFERROR(VLOOKUP($C162,merchants!$A$1:$D$41,3,FALSE),"Merchant not found")</f>
        <v>grocery</v>
      </c>
      <c r="F162" s="3" t="str">
        <f>IFERROR(VLOOKUP($C162,merchants!$A$1:$D$41,4,FALSE),"Merchant not found")</f>
        <v>North</v>
      </c>
      <c r="G162" s="5">
        <v>46052.3701388889</v>
      </c>
      <c r="H162" s="1">
        <v>499</v>
      </c>
      <c r="I162" s="1" t="s">
        <v>52</v>
      </c>
      <c r="J162" s="1" t="s">
        <v>50</v>
      </c>
      <c r="K162" s="1">
        <v>61</v>
      </c>
      <c r="L162" s="6">
        <f>IFERROR(HLOOKUP($I162,Reference!$B$1:$E$2,2,FALSE),0)</f>
        <v>0</v>
      </c>
      <c r="M162" s="7">
        <f t="shared" si="0"/>
        <v>46052</v>
      </c>
      <c r="N162" s="3" t="str">
        <f t="shared" si="1"/>
        <v>Regular</v>
      </c>
    </row>
    <row r="163" customHeight="1" spans="1:14">
      <c r="A163" s="1" t="s">
        <v>216</v>
      </c>
      <c r="B163" s="1">
        <v>174</v>
      </c>
      <c r="C163" s="1">
        <v>8</v>
      </c>
      <c r="D163" s="3" t="str">
        <f>IFERROR(VLOOKUP($C163,merchants!$A$1:$D$41,2,FALSE),"Merchant not found")</f>
        <v>Merchant_008</v>
      </c>
      <c r="E163" s="3" t="str">
        <f>IFERROR(VLOOKUP($C163,merchants!$A$1:$D$41,3,FALSE),"Merchant not found")</f>
        <v>food_delivery</v>
      </c>
      <c r="F163" s="3" t="str">
        <f>IFERROR(VLOOKUP($C163,merchants!$A$1:$D$41,4,FALSE),"Merchant not found")</f>
        <v>North</v>
      </c>
      <c r="G163" s="5">
        <v>46048.4076388889</v>
      </c>
      <c r="H163" s="1">
        <v>299</v>
      </c>
      <c r="I163" s="1" t="s">
        <v>55</v>
      </c>
      <c r="J163" s="1" t="s">
        <v>50</v>
      </c>
      <c r="K163" s="1">
        <v>59</v>
      </c>
      <c r="L163" s="6">
        <f>IFERROR(HLOOKUP($I163,Reference!$B$1:$E$2,2,FALSE),0)</f>
        <v>0.01</v>
      </c>
      <c r="M163" s="7">
        <f t="shared" si="0"/>
        <v>46048</v>
      </c>
      <c r="N163" s="3" t="str">
        <f t="shared" si="1"/>
        <v>Regular</v>
      </c>
    </row>
    <row r="164" customHeight="1" spans="1:14">
      <c r="A164" s="1" t="s">
        <v>217</v>
      </c>
      <c r="B164" s="1">
        <v>116</v>
      </c>
      <c r="C164" s="1">
        <v>26</v>
      </c>
      <c r="D164" s="3" t="str">
        <f>IFERROR(VLOOKUP($C164,merchants!$A$1:$D$41,2,FALSE),"Merchant not found")</f>
        <v>Merchant_026</v>
      </c>
      <c r="E164" s="3" t="str">
        <f>IFERROR(VLOOKUP($C164,merchants!$A$1:$D$41,3,FALSE),"Merchant not found")</f>
        <v>food_delivery</v>
      </c>
      <c r="F164" s="3" t="str">
        <f>IFERROR(VLOOKUP($C164,merchants!$A$1:$D$41,4,FALSE),"Merchant not found")</f>
        <v>East</v>
      </c>
      <c r="G164" s="5">
        <v>46025.2</v>
      </c>
      <c r="H164" s="1">
        <v>99</v>
      </c>
      <c r="I164" s="1" t="s">
        <v>55</v>
      </c>
      <c r="J164" s="1" t="s">
        <v>50</v>
      </c>
      <c r="K164" s="1">
        <v>71</v>
      </c>
      <c r="L164" s="6">
        <f>IFERROR(HLOOKUP($I164,Reference!$B$1:$E$2,2,FALSE),0)</f>
        <v>0.01</v>
      </c>
      <c r="M164" s="7">
        <f t="shared" si="0"/>
        <v>46025</v>
      </c>
      <c r="N164" s="3" t="str">
        <f t="shared" si="1"/>
        <v>Regular</v>
      </c>
    </row>
    <row r="165" customHeight="1" spans="1:14">
      <c r="A165" s="1" t="s">
        <v>218</v>
      </c>
      <c r="B165" s="1">
        <v>203</v>
      </c>
      <c r="C165" s="1">
        <v>1</v>
      </c>
      <c r="D165" s="3" t="str">
        <f>IFERROR(VLOOKUP($C165,merchants!$A$1:$D$41,2,FALSE),"Merchant not found")</f>
        <v>Merchant_001</v>
      </c>
      <c r="E165" s="3" t="str">
        <f>IFERROR(VLOOKUP($C165,merchants!$A$1:$D$41,3,FALSE),"Merchant not found")</f>
        <v>ecommerce</v>
      </c>
      <c r="F165" s="3" t="str">
        <f>IFERROR(VLOOKUP($C165,merchants!$A$1:$D$41,4,FALSE),"Merchant not found")</f>
        <v>South</v>
      </c>
      <c r="G165" s="5">
        <v>46034.1180555556</v>
      </c>
      <c r="H165" s="1">
        <v>149</v>
      </c>
      <c r="I165" s="1" t="s">
        <v>49</v>
      </c>
      <c r="J165" s="1" t="s">
        <v>50</v>
      </c>
      <c r="K165" s="1">
        <v>33</v>
      </c>
      <c r="L165" s="6">
        <f>IFERROR(HLOOKUP($I165,Reference!$B$1:$E$2,2,FALSE),0)</f>
        <v>0.015</v>
      </c>
      <c r="M165" s="7">
        <f t="shared" si="0"/>
        <v>46034</v>
      </c>
      <c r="N165" s="3" t="str">
        <f t="shared" si="1"/>
        <v>Regular</v>
      </c>
    </row>
    <row r="166" customHeight="1" spans="1:14">
      <c r="A166" s="1" t="s">
        <v>219</v>
      </c>
      <c r="B166" s="1">
        <v>189</v>
      </c>
      <c r="C166" s="1">
        <v>17</v>
      </c>
      <c r="D166" s="3" t="str">
        <f>IFERROR(VLOOKUP($C166,merchants!$A$1:$D$41,2,FALSE),"Merchant not found")</f>
        <v>Merchant_017</v>
      </c>
      <c r="E166" s="3" t="str">
        <f>IFERROR(VLOOKUP($C166,merchants!$A$1:$D$41,3,FALSE),"Merchant not found")</f>
        <v>grocery</v>
      </c>
      <c r="F166" s="3" t="str">
        <f>IFERROR(VLOOKUP($C166,merchants!$A$1:$D$41,4,FALSE),"Merchant not found")</f>
        <v>North</v>
      </c>
      <c r="G166" s="5">
        <v>46040.1451388889</v>
      </c>
      <c r="H166" s="1">
        <v>99</v>
      </c>
      <c r="I166" s="1" t="s">
        <v>52</v>
      </c>
      <c r="J166" s="1" t="s">
        <v>50</v>
      </c>
      <c r="K166" s="1">
        <v>74</v>
      </c>
      <c r="L166" s="6">
        <f>IFERROR(HLOOKUP($I166,Reference!$B$1:$E$2,2,FALSE),0)</f>
        <v>0</v>
      </c>
      <c r="M166" s="7">
        <f t="shared" si="0"/>
        <v>46040</v>
      </c>
      <c r="N166" s="3" t="str">
        <f t="shared" si="1"/>
        <v>Regular</v>
      </c>
    </row>
    <row r="167" customHeight="1" spans="1:14">
      <c r="A167" s="1" t="s">
        <v>220</v>
      </c>
      <c r="B167" s="1">
        <v>56</v>
      </c>
      <c r="C167" s="1">
        <v>15</v>
      </c>
      <c r="D167" s="3" t="str">
        <f>IFERROR(VLOOKUP($C167,merchants!$A$1:$D$41,2,FALSE),"Merchant not found")</f>
        <v>Merchant_015</v>
      </c>
      <c r="E167" s="3" t="str">
        <f>IFERROR(VLOOKUP($C167,merchants!$A$1:$D$41,3,FALSE),"Merchant not found")</f>
        <v>travel</v>
      </c>
      <c r="F167" s="3" t="str">
        <f>IFERROR(VLOOKUP($C167,merchants!$A$1:$D$41,4,FALSE),"Merchant not found")</f>
        <v>North</v>
      </c>
      <c r="G167" s="5">
        <v>46035.8493055556</v>
      </c>
      <c r="H167" s="1">
        <v>299</v>
      </c>
      <c r="I167" s="1" t="s">
        <v>52</v>
      </c>
      <c r="J167" s="1" t="s">
        <v>50</v>
      </c>
      <c r="K167" s="1">
        <v>60</v>
      </c>
      <c r="L167" s="6">
        <f>IFERROR(HLOOKUP($I167,Reference!$B$1:$E$2,2,FALSE),0)</f>
        <v>0</v>
      </c>
      <c r="M167" s="7">
        <f t="shared" si="0"/>
        <v>46035</v>
      </c>
      <c r="N167" s="3" t="str">
        <f t="shared" si="1"/>
        <v>Regular</v>
      </c>
    </row>
    <row r="168" customHeight="1" spans="1:14">
      <c r="A168" s="1" t="s">
        <v>221</v>
      </c>
      <c r="B168" s="1">
        <v>288</v>
      </c>
      <c r="C168" s="1">
        <v>21</v>
      </c>
      <c r="D168" s="3" t="str">
        <f>IFERROR(VLOOKUP($C168,merchants!$A$1:$D$41,2,FALSE),"Merchant not found")</f>
        <v>Merchant_021</v>
      </c>
      <c r="E168" s="3" t="str">
        <f>IFERROR(VLOOKUP($C168,merchants!$A$1:$D$41,3,FALSE),"Merchant not found")</f>
        <v>food_delivery</v>
      </c>
      <c r="F168" s="3" t="str">
        <f>IFERROR(VLOOKUP($C168,merchants!$A$1:$D$41,4,FALSE),"Merchant not found")</f>
        <v>East</v>
      </c>
      <c r="G168" s="5">
        <v>46023.8305555556</v>
      </c>
      <c r="H168" s="1">
        <v>4999</v>
      </c>
      <c r="I168" s="1" t="s">
        <v>49</v>
      </c>
      <c r="J168" s="1" t="s">
        <v>65</v>
      </c>
      <c r="K168" s="1">
        <v>78</v>
      </c>
      <c r="L168" s="6">
        <f>IFERROR(HLOOKUP($I168,Reference!$B$1:$E$2,2,FALSE),0)</f>
        <v>0.015</v>
      </c>
      <c r="M168" s="7">
        <f t="shared" si="0"/>
        <v>46023</v>
      </c>
      <c r="N168" s="3" t="str">
        <f t="shared" si="1"/>
        <v>Regular</v>
      </c>
    </row>
    <row r="169" customHeight="1" spans="1:14">
      <c r="A169" s="1" t="s">
        <v>222</v>
      </c>
      <c r="B169" s="1">
        <v>326</v>
      </c>
      <c r="C169" s="1">
        <v>30</v>
      </c>
      <c r="D169" s="3" t="str">
        <f>IFERROR(VLOOKUP($C169,merchants!$A$1:$D$41,2,FALSE),"Merchant not found")</f>
        <v>Merchant_030</v>
      </c>
      <c r="E169" s="3" t="str">
        <f>IFERROR(VLOOKUP($C169,merchants!$A$1:$D$41,3,FALSE),"Merchant not found")</f>
        <v>travel</v>
      </c>
      <c r="F169" s="3" t="str">
        <f>IFERROR(VLOOKUP($C169,merchants!$A$1:$D$41,4,FALSE),"Merchant not found")</f>
        <v>West</v>
      </c>
      <c r="G169" s="5">
        <v>46030.8361111111</v>
      </c>
      <c r="H169" s="1">
        <v>99</v>
      </c>
      <c r="I169" s="1" t="s">
        <v>64</v>
      </c>
      <c r="J169" s="1" t="s">
        <v>50</v>
      </c>
      <c r="K169" s="1">
        <v>89</v>
      </c>
      <c r="L169" s="6">
        <f>IFERROR(HLOOKUP($I169,Reference!$B$1:$E$2,2,FALSE),0)</f>
        <v>0.02</v>
      </c>
      <c r="M169" s="7">
        <f t="shared" si="0"/>
        <v>46030</v>
      </c>
      <c r="N169" s="3" t="str">
        <f t="shared" si="1"/>
        <v>Regular</v>
      </c>
    </row>
    <row r="170" customHeight="1" spans="1:14">
      <c r="A170" s="1" t="s">
        <v>223</v>
      </c>
      <c r="B170" s="1">
        <v>60</v>
      </c>
      <c r="C170" s="1">
        <v>9</v>
      </c>
      <c r="D170" s="3" t="str">
        <f>IFERROR(VLOOKUP($C170,merchants!$A$1:$D$41,2,FALSE),"Merchant not found")</f>
        <v>Merchant_009</v>
      </c>
      <c r="E170" s="3" t="str">
        <f>IFERROR(VLOOKUP($C170,merchants!$A$1:$D$41,3,FALSE),"Merchant not found")</f>
        <v>ecommerce</v>
      </c>
      <c r="F170" s="3" t="str">
        <f>IFERROR(VLOOKUP($C170,merchants!$A$1:$D$41,4,FALSE),"Merchant not found")</f>
        <v>North</v>
      </c>
      <c r="G170" s="5">
        <v>46032.8513888889</v>
      </c>
      <c r="H170" s="1">
        <v>49</v>
      </c>
      <c r="I170" s="1" t="s">
        <v>55</v>
      </c>
      <c r="J170" s="1" t="s">
        <v>50</v>
      </c>
      <c r="K170" s="1">
        <v>5</v>
      </c>
      <c r="L170" s="6">
        <f>IFERROR(HLOOKUP($I170,Reference!$B$1:$E$2,2,FALSE),0)</f>
        <v>0.01</v>
      </c>
      <c r="M170" s="7">
        <f t="shared" si="0"/>
        <v>46032</v>
      </c>
      <c r="N170" s="3" t="str">
        <f t="shared" si="1"/>
        <v>Regular</v>
      </c>
    </row>
    <row r="171" customHeight="1" spans="1:14">
      <c r="A171" s="1" t="s">
        <v>224</v>
      </c>
      <c r="B171" s="1">
        <v>60</v>
      </c>
      <c r="C171" s="1">
        <v>7</v>
      </c>
      <c r="D171" s="3" t="str">
        <f>IFERROR(VLOOKUP($C171,merchants!$A$1:$D$41,2,FALSE),"Merchant not found")</f>
        <v>Merchant_007</v>
      </c>
      <c r="E171" s="3" t="str">
        <f>IFERROR(VLOOKUP($C171,merchants!$A$1:$D$41,3,FALSE),"Merchant not found")</f>
        <v>food_delivery</v>
      </c>
      <c r="F171" s="3" t="str">
        <f>IFERROR(VLOOKUP($C171,merchants!$A$1:$D$41,4,FALSE),"Merchant not found")</f>
        <v>East</v>
      </c>
      <c r="G171" s="5">
        <v>46024.3965277778</v>
      </c>
      <c r="H171" s="1">
        <v>2999</v>
      </c>
      <c r="I171" s="1" t="s">
        <v>49</v>
      </c>
      <c r="J171" s="1" t="s">
        <v>50</v>
      </c>
      <c r="K171" s="1">
        <v>30</v>
      </c>
      <c r="L171" s="6">
        <f>IFERROR(HLOOKUP($I171,Reference!$B$1:$E$2,2,FALSE),0)</f>
        <v>0.015</v>
      </c>
      <c r="M171" s="7">
        <f t="shared" si="0"/>
        <v>46024</v>
      </c>
      <c r="N171" s="3" t="str">
        <f t="shared" si="1"/>
        <v>Regular</v>
      </c>
    </row>
    <row r="172" customHeight="1" spans="1:14">
      <c r="A172" s="1" t="s">
        <v>225</v>
      </c>
      <c r="B172" s="1">
        <v>199</v>
      </c>
      <c r="C172" s="1">
        <v>30</v>
      </c>
      <c r="D172" s="3" t="str">
        <f>IFERROR(VLOOKUP($C172,merchants!$A$1:$D$41,2,FALSE),"Merchant not found")</f>
        <v>Merchant_030</v>
      </c>
      <c r="E172" s="3" t="str">
        <f>IFERROR(VLOOKUP($C172,merchants!$A$1:$D$41,3,FALSE),"Merchant not found")</f>
        <v>travel</v>
      </c>
      <c r="F172" s="3" t="str">
        <f>IFERROR(VLOOKUP($C172,merchants!$A$1:$D$41,4,FALSE),"Merchant not found")</f>
        <v>West</v>
      </c>
      <c r="G172" s="5">
        <v>46051.7138888889</v>
      </c>
      <c r="H172" s="1">
        <v>149</v>
      </c>
      <c r="I172" s="1" t="s">
        <v>55</v>
      </c>
      <c r="J172" s="1" t="s">
        <v>50</v>
      </c>
      <c r="K172" s="1">
        <v>47</v>
      </c>
      <c r="L172" s="6">
        <f>IFERROR(HLOOKUP($I172,Reference!$B$1:$E$2,2,FALSE),0)</f>
        <v>0.01</v>
      </c>
      <c r="M172" s="7">
        <f t="shared" si="0"/>
        <v>46051</v>
      </c>
      <c r="N172" s="3" t="str">
        <f t="shared" si="1"/>
        <v>Regular</v>
      </c>
    </row>
    <row r="173" customHeight="1" spans="1:14">
      <c r="A173" s="1" t="s">
        <v>226</v>
      </c>
      <c r="B173" s="1">
        <v>277</v>
      </c>
      <c r="C173" s="1">
        <v>27</v>
      </c>
      <c r="D173" s="3" t="str">
        <f>IFERROR(VLOOKUP($C173,merchants!$A$1:$D$41,2,FALSE),"Merchant not found")</f>
        <v>Merchant_027</v>
      </c>
      <c r="E173" s="3" t="str">
        <f>IFERROR(VLOOKUP($C173,merchants!$A$1:$D$41,3,FALSE),"Merchant not found")</f>
        <v>ecommerce</v>
      </c>
      <c r="F173" s="3" t="str">
        <f>IFERROR(VLOOKUP($C173,merchants!$A$1:$D$41,4,FALSE),"Merchant not found")</f>
        <v>North</v>
      </c>
      <c r="G173" s="5">
        <v>46044.9888888889</v>
      </c>
      <c r="H173" s="1">
        <v>49</v>
      </c>
      <c r="I173" s="1" t="s">
        <v>52</v>
      </c>
      <c r="J173" s="1" t="s">
        <v>50</v>
      </c>
      <c r="K173" s="1">
        <v>75</v>
      </c>
      <c r="L173" s="6">
        <f>IFERROR(HLOOKUP($I173,Reference!$B$1:$E$2,2,FALSE),0)</f>
        <v>0</v>
      </c>
      <c r="M173" s="7">
        <f t="shared" si="0"/>
        <v>46044</v>
      </c>
      <c r="N173" s="3" t="str">
        <f t="shared" si="1"/>
        <v>Regular</v>
      </c>
    </row>
    <row r="174" customHeight="1" spans="1:14">
      <c r="A174" s="1" t="s">
        <v>227</v>
      </c>
      <c r="B174" s="1">
        <v>213</v>
      </c>
      <c r="C174" s="1">
        <v>7</v>
      </c>
      <c r="D174" s="3" t="str">
        <f>IFERROR(VLOOKUP($C174,merchants!$A$1:$D$41,2,FALSE),"Merchant not found")</f>
        <v>Merchant_007</v>
      </c>
      <c r="E174" s="3" t="str">
        <f>IFERROR(VLOOKUP($C174,merchants!$A$1:$D$41,3,FALSE),"Merchant not found")</f>
        <v>food_delivery</v>
      </c>
      <c r="F174" s="3" t="str">
        <f>IFERROR(VLOOKUP($C174,merchants!$A$1:$D$41,4,FALSE),"Merchant not found")</f>
        <v>East</v>
      </c>
      <c r="G174" s="5">
        <v>46046.9645833333</v>
      </c>
      <c r="H174" s="1">
        <v>799</v>
      </c>
      <c r="I174" s="1" t="s">
        <v>55</v>
      </c>
      <c r="J174" s="1" t="s">
        <v>50</v>
      </c>
      <c r="K174" s="1">
        <v>62</v>
      </c>
      <c r="L174" s="6">
        <f>IFERROR(HLOOKUP($I174,Reference!$B$1:$E$2,2,FALSE),0)</f>
        <v>0.01</v>
      </c>
      <c r="M174" s="7">
        <f t="shared" si="0"/>
        <v>46046</v>
      </c>
      <c r="N174" s="3" t="str">
        <f t="shared" si="1"/>
        <v>Regular</v>
      </c>
    </row>
    <row r="175" customHeight="1" spans="1:14">
      <c r="A175" s="1" t="s">
        <v>228</v>
      </c>
      <c r="B175" s="1">
        <v>17</v>
      </c>
      <c r="C175" s="1">
        <v>24</v>
      </c>
      <c r="D175" s="3" t="str">
        <f>IFERROR(VLOOKUP($C175,merchants!$A$1:$D$41,2,FALSE),"Merchant not found")</f>
        <v>Merchant_024</v>
      </c>
      <c r="E175" s="3" t="str">
        <f>IFERROR(VLOOKUP($C175,merchants!$A$1:$D$41,3,FALSE),"Merchant not found")</f>
        <v>grocery</v>
      </c>
      <c r="F175" s="3" t="str">
        <f>IFERROR(VLOOKUP($C175,merchants!$A$1:$D$41,4,FALSE),"Merchant not found")</f>
        <v>North</v>
      </c>
      <c r="G175" s="5">
        <v>46042.5534722222</v>
      </c>
      <c r="H175" s="1">
        <v>299</v>
      </c>
      <c r="I175" s="1" t="s">
        <v>52</v>
      </c>
      <c r="J175" s="1" t="s">
        <v>50</v>
      </c>
      <c r="K175" s="1">
        <v>27</v>
      </c>
      <c r="L175" s="6">
        <f>IFERROR(HLOOKUP($I175,Reference!$B$1:$E$2,2,FALSE),0)</f>
        <v>0</v>
      </c>
      <c r="M175" s="7">
        <f t="shared" si="0"/>
        <v>46042</v>
      </c>
      <c r="N175" s="3" t="str">
        <f t="shared" si="1"/>
        <v>Regular</v>
      </c>
    </row>
    <row r="176" customHeight="1" spans="1:14">
      <c r="A176" s="1" t="s">
        <v>229</v>
      </c>
      <c r="B176" s="1">
        <v>186</v>
      </c>
      <c r="C176" s="1">
        <v>7</v>
      </c>
      <c r="D176" s="3" t="str">
        <f>IFERROR(VLOOKUP($C176,merchants!$A$1:$D$41,2,FALSE),"Merchant not found")</f>
        <v>Merchant_007</v>
      </c>
      <c r="E176" s="3" t="str">
        <f>IFERROR(VLOOKUP($C176,merchants!$A$1:$D$41,3,FALSE),"Merchant not found")</f>
        <v>food_delivery</v>
      </c>
      <c r="F176" s="3" t="str">
        <f>IFERROR(VLOOKUP($C176,merchants!$A$1:$D$41,4,FALSE),"Merchant not found")</f>
        <v>East</v>
      </c>
      <c r="G176" s="5">
        <v>46037.59375</v>
      </c>
      <c r="H176" s="1">
        <v>1499</v>
      </c>
      <c r="I176" s="1" t="s">
        <v>64</v>
      </c>
      <c r="J176" s="1" t="s">
        <v>65</v>
      </c>
      <c r="K176" s="1">
        <v>87</v>
      </c>
      <c r="L176" s="6">
        <f>IFERROR(HLOOKUP($I176,Reference!$B$1:$E$2,2,FALSE),0)</f>
        <v>0.02</v>
      </c>
      <c r="M176" s="7">
        <f t="shared" si="0"/>
        <v>46037</v>
      </c>
      <c r="N176" s="3" t="str">
        <f t="shared" si="1"/>
        <v>Regular</v>
      </c>
    </row>
    <row r="177" customHeight="1" spans="1:14">
      <c r="A177" s="1" t="s">
        <v>230</v>
      </c>
      <c r="B177" s="1">
        <v>331</v>
      </c>
      <c r="C177" s="1">
        <v>23</v>
      </c>
      <c r="D177" s="3" t="str">
        <f>IFERROR(VLOOKUP($C177,merchants!$A$1:$D$41,2,FALSE),"Merchant not found")</f>
        <v>Merchant_023</v>
      </c>
      <c r="E177" s="3" t="str">
        <f>IFERROR(VLOOKUP($C177,merchants!$A$1:$D$41,3,FALSE),"Merchant not found")</f>
        <v>travel</v>
      </c>
      <c r="F177" s="3" t="str">
        <f>IFERROR(VLOOKUP($C177,merchants!$A$1:$D$41,4,FALSE),"Merchant not found")</f>
        <v>North</v>
      </c>
      <c r="G177" s="5">
        <v>46034.7479166667</v>
      </c>
      <c r="H177" s="1">
        <v>149</v>
      </c>
      <c r="I177" s="1" t="s">
        <v>52</v>
      </c>
      <c r="J177" s="1" t="s">
        <v>50</v>
      </c>
      <c r="K177" s="1">
        <v>7</v>
      </c>
      <c r="L177" s="6">
        <f>IFERROR(HLOOKUP($I177,Reference!$B$1:$E$2,2,FALSE),0)</f>
        <v>0</v>
      </c>
      <c r="M177" s="7">
        <f t="shared" si="0"/>
        <v>46034</v>
      </c>
      <c r="N177" s="3" t="str">
        <f t="shared" si="1"/>
        <v>Regular</v>
      </c>
    </row>
    <row r="178" customHeight="1" spans="1:14">
      <c r="A178" s="1" t="s">
        <v>231</v>
      </c>
      <c r="B178" s="1">
        <v>63</v>
      </c>
      <c r="C178" s="1">
        <v>30</v>
      </c>
      <c r="D178" s="3" t="str">
        <f>IFERROR(VLOOKUP($C178,merchants!$A$1:$D$41,2,FALSE),"Merchant not found")</f>
        <v>Merchant_030</v>
      </c>
      <c r="E178" s="3" t="str">
        <f>IFERROR(VLOOKUP($C178,merchants!$A$1:$D$41,3,FALSE),"Merchant not found")</f>
        <v>travel</v>
      </c>
      <c r="F178" s="3" t="str">
        <f>IFERROR(VLOOKUP($C178,merchants!$A$1:$D$41,4,FALSE),"Merchant not found")</f>
        <v>West</v>
      </c>
      <c r="G178" s="5">
        <v>46035.3416666667</v>
      </c>
      <c r="H178" s="1">
        <v>1499</v>
      </c>
      <c r="I178" s="1" t="s">
        <v>64</v>
      </c>
      <c r="J178" s="1" t="s">
        <v>50</v>
      </c>
      <c r="K178" s="1">
        <v>11</v>
      </c>
      <c r="L178" s="6">
        <f>IFERROR(HLOOKUP($I178,Reference!$B$1:$E$2,2,FALSE),0)</f>
        <v>0.02</v>
      </c>
      <c r="M178" s="7">
        <f t="shared" si="0"/>
        <v>46035</v>
      </c>
      <c r="N178" s="3" t="str">
        <f t="shared" si="1"/>
        <v>Regular</v>
      </c>
    </row>
    <row r="179" customHeight="1" spans="1:14">
      <c r="A179" s="1" t="s">
        <v>232</v>
      </c>
      <c r="B179" s="1">
        <v>328</v>
      </c>
      <c r="C179" s="1">
        <v>39</v>
      </c>
      <c r="D179" s="3" t="str">
        <f>IFERROR(VLOOKUP($C179,merchants!$A$1:$D$41,2,FALSE),"Merchant not found")</f>
        <v>Merchant_039</v>
      </c>
      <c r="E179" s="3" t="str">
        <f>IFERROR(VLOOKUP($C179,merchants!$A$1:$D$41,3,FALSE),"Merchant not found")</f>
        <v>entertainment</v>
      </c>
      <c r="F179" s="3" t="str">
        <f>IFERROR(VLOOKUP($C179,merchants!$A$1:$D$41,4,FALSE),"Merchant not found")</f>
        <v>North</v>
      </c>
      <c r="G179" s="5">
        <v>46044.2784722222</v>
      </c>
      <c r="H179" s="1">
        <v>4999</v>
      </c>
      <c r="I179" s="1" t="s">
        <v>49</v>
      </c>
      <c r="J179" s="1" t="s">
        <v>78</v>
      </c>
      <c r="K179" s="1">
        <v>2</v>
      </c>
      <c r="L179" s="6">
        <f>IFERROR(HLOOKUP($I179,Reference!$B$1:$E$2,2,FALSE),0)</f>
        <v>0.015</v>
      </c>
      <c r="M179" s="7">
        <f t="shared" si="0"/>
        <v>46044</v>
      </c>
      <c r="N179" s="3" t="str">
        <f t="shared" si="1"/>
        <v>High-Value Merchant Day</v>
      </c>
    </row>
    <row r="180" customHeight="1" spans="1:14">
      <c r="A180" s="1" t="s">
        <v>233</v>
      </c>
      <c r="B180" s="1">
        <v>65</v>
      </c>
      <c r="C180" s="1">
        <v>37</v>
      </c>
      <c r="D180" s="3" t="str">
        <f>IFERROR(VLOOKUP($C180,merchants!$A$1:$D$41,2,FALSE),"Merchant not found")</f>
        <v>Merchant_037</v>
      </c>
      <c r="E180" s="3" t="str">
        <f>IFERROR(VLOOKUP($C180,merchants!$A$1:$D$41,3,FALSE),"Merchant not found")</f>
        <v>entertainment</v>
      </c>
      <c r="F180" s="3" t="str">
        <f>IFERROR(VLOOKUP($C180,merchants!$A$1:$D$41,4,FALSE),"Merchant not found")</f>
        <v>South</v>
      </c>
      <c r="G180" s="5">
        <v>46024.4270833333</v>
      </c>
      <c r="H180" s="1">
        <v>2999</v>
      </c>
      <c r="I180" s="1" t="s">
        <v>64</v>
      </c>
      <c r="J180" s="1" t="s">
        <v>50</v>
      </c>
      <c r="K180" s="1">
        <v>26</v>
      </c>
      <c r="L180" s="6">
        <f>IFERROR(HLOOKUP($I180,Reference!$B$1:$E$2,2,FALSE),0)</f>
        <v>0.02</v>
      </c>
      <c r="M180" s="7">
        <f t="shared" si="0"/>
        <v>46024</v>
      </c>
      <c r="N180" s="3" t="str">
        <f t="shared" si="1"/>
        <v>Regular</v>
      </c>
    </row>
    <row r="181" customHeight="1" spans="1:14">
      <c r="A181" s="1" t="s">
        <v>234</v>
      </c>
      <c r="B181" s="1">
        <v>301</v>
      </c>
      <c r="C181" s="1">
        <v>14</v>
      </c>
      <c r="D181" s="3" t="str">
        <f>IFERROR(VLOOKUP($C181,merchants!$A$1:$D$41,2,FALSE),"Merchant not found")</f>
        <v>Merchant_014</v>
      </c>
      <c r="E181" s="3" t="str">
        <f>IFERROR(VLOOKUP($C181,merchants!$A$1:$D$41,3,FALSE),"Merchant not found")</f>
        <v>grocery</v>
      </c>
      <c r="F181" s="3" t="str">
        <f>IFERROR(VLOOKUP($C181,merchants!$A$1:$D$41,4,FALSE),"Merchant not found")</f>
        <v>East</v>
      </c>
      <c r="G181" s="5">
        <v>46025.7173611111</v>
      </c>
      <c r="H181" s="1">
        <v>149</v>
      </c>
      <c r="I181" s="1" t="s">
        <v>52</v>
      </c>
      <c r="J181" s="1" t="s">
        <v>50</v>
      </c>
      <c r="K181" s="1">
        <v>29</v>
      </c>
      <c r="L181" s="6">
        <f>IFERROR(HLOOKUP($I181,Reference!$B$1:$E$2,2,FALSE),0)</f>
        <v>0</v>
      </c>
      <c r="M181" s="7">
        <f t="shared" si="0"/>
        <v>46025</v>
      </c>
      <c r="N181" s="3" t="str">
        <f t="shared" si="1"/>
        <v>Regular</v>
      </c>
    </row>
    <row r="182" customHeight="1" spans="1:14">
      <c r="A182" s="1" t="s">
        <v>235</v>
      </c>
      <c r="B182" s="1">
        <v>306</v>
      </c>
      <c r="C182" s="1">
        <v>1</v>
      </c>
      <c r="D182" s="3" t="str">
        <f>IFERROR(VLOOKUP($C182,merchants!$A$1:$D$41,2,FALSE),"Merchant not found")</f>
        <v>Merchant_001</v>
      </c>
      <c r="E182" s="3" t="str">
        <f>IFERROR(VLOOKUP($C182,merchants!$A$1:$D$41,3,FALSE),"Merchant not found")</f>
        <v>ecommerce</v>
      </c>
      <c r="F182" s="3" t="str">
        <f>IFERROR(VLOOKUP($C182,merchants!$A$1:$D$41,4,FALSE),"Merchant not found")</f>
        <v>South</v>
      </c>
      <c r="G182" s="5">
        <v>46033.2013888889</v>
      </c>
      <c r="H182" s="1">
        <v>299</v>
      </c>
      <c r="I182" s="1" t="s">
        <v>52</v>
      </c>
      <c r="J182" s="1" t="s">
        <v>65</v>
      </c>
      <c r="K182" s="1">
        <v>35</v>
      </c>
      <c r="L182" s="6">
        <f>IFERROR(HLOOKUP($I182,Reference!$B$1:$E$2,2,FALSE),0)</f>
        <v>0</v>
      </c>
      <c r="M182" s="7">
        <f t="shared" si="0"/>
        <v>46033</v>
      </c>
      <c r="N182" s="3" t="str">
        <f t="shared" si="1"/>
        <v>Regular</v>
      </c>
    </row>
    <row r="183" customHeight="1" spans="1:14">
      <c r="A183" s="1" t="s">
        <v>236</v>
      </c>
      <c r="B183" s="1">
        <v>277</v>
      </c>
      <c r="C183" s="1">
        <v>17</v>
      </c>
      <c r="D183" s="3" t="str">
        <f>IFERROR(VLOOKUP($C183,merchants!$A$1:$D$41,2,FALSE),"Merchant not found")</f>
        <v>Merchant_017</v>
      </c>
      <c r="E183" s="3" t="str">
        <f>IFERROR(VLOOKUP($C183,merchants!$A$1:$D$41,3,FALSE),"Merchant not found")</f>
        <v>grocery</v>
      </c>
      <c r="F183" s="3" t="str">
        <f>IFERROR(VLOOKUP($C183,merchants!$A$1:$D$41,4,FALSE),"Merchant not found")</f>
        <v>North</v>
      </c>
      <c r="G183" s="5">
        <v>46050.1722222222</v>
      </c>
      <c r="H183" s="1">
        <v>299</v>
      </c>
      <c r="I183" s="1" t="s">
        <v>52</v>
      </c>
      <c r="J183" s="1" t="s">
        <v>50</v>
      </c>
      <c r="K183" s="1">
        <v>22</v>
      </c>
      <c r="L183" s="6">
        <f>IFERROR(HLOOKUP($I183,Reference!$B$1:$E$2,2,FALSE),0)</f>
        <v>0</v>
      </c>
      <c r="M183" s="7">
        <f t="shared" si="0"/>
        <v>46050</v>
      </c>
      <c r="N183" s="3" t="str">
        <f t="shared" si="1"/>
        <v>Regular</v>
      </c>
    </row>
    <row r="184" customHeight="1" spans="1:14">
      <c r="A184" s="1" t="s">
        <v>237</v>
      </c>
      <c r="B184" s="1">
        <v>14</v>
      </c>
      <c r="C184" s="1">
        <v>9</v>
      </c>
      <c r="D184" s="3" t="str">
        <f>IFERROR(VLOOKUP($C184,merchants!$A$1:$D$41,2,FALSE),"Merchant not found")</f>
        <v>Merchant_009</v>
      </c>
      <c r="E184" s="3" t="str">
        <f>IFERROR(VLOOKUP($C184,merchants!$A$1:$D$41,3,FALSE),"Merchant not found")</f>
        <v>ecommerce</v>
      </c>
      <c r="F184" s="3" t="str">
        <f>IFERROR(VLOOKUP($C184,merchants!$A$1:$D$41,4,FALSE),"Merchant not found")</f>
        <v>North</v>
      </c>
      <c r="G184" s="5">
        <v>46026.9131944444</v>
      </c>
      <c r="H184" s="1">
        <v>499</v>
      </c>
      <c r="I184" s="1" t="s">
        <v>52</v>
      </c>
      <c r="J184" s="1" t="s">
        <v>50</v>
      </c>
      <c r="K184" s="1">
        <v>1</v>
      </c>
      <c r="L184" s="6">
        <f>IFERROR(HLOOKUP($I184,Reference!$B$1:$E$2,2,FALSE),0)</f>
        <v>0</v>
      </c>
      <c r="M184" s="7">
        <f t="shared" si="0"/>
        <v>46026</v>
      </c>
      <c r="N184" s="3" t="str">
        <f t="shared" si="1"/>
        <v>Regular</v>
      </c>
    </row>
    <row r="185" customHeight="1" spans="1:14">
      <c r="A185" s="1" t="s">
        <v>238</v>
      </c>
      <c r="B185" s="1">
        <v>166</v>
      </c>
      <c r="C185" s="1">
        <v>2</v>
      </c>
      <c r="D185" s="3" t="str">
        <f>IFERROR(VLOOKUP($C185,merchants!$A$1:$D$41,2,FALSE),"Merchant not found")</f>
        <v>Merchant_002</v>
      </c>
      <c r="E185" s="3" t="str">
        <f>IFERROR(VLOOKUP($C185,merchants!$A$1:$D$41,3,FALSE),"Merchant not found")</f>
        <v>grocery</v>
      </c>
      <c r="F185" s="3" t="str">
        <f>IFERROR(VLOOKUP($C185,merchants!$A$1:$D$41,4,FALSE),"Merchant not found")</f>
        <v>West</v>
      </c>
      <c r="G185" s="5">
        <v>46034.3173611111</v>
      </c>
      <c r="H185" s="1">
        <v>299</v>
      </c>
      <c r="I185" s="1" t="s">
        <v>64</v>
      </c>
      <c r="J185" s="1" t="s">
        <v>50</v>
      </c>
      <c r="K185" s="1">
        <v>22</v>
      </c>
      <c r="L185" s="6">
        <f>IFERROR(HLOOKUP($I185,Reference!$B$1:$E$2,2,FALSE),0)</f>
        <v>0.02</v>
      </c>
      <c r="M185" s="7">
        <f t="shared" si="0"/>
        <v>46034</v>
      </c>
      <c r="N185" s="3" t="str">
        <f t="shared" si="1"/>
        <v>Regular</v>
      </c>
    </row>
    <row r="186" customHeight="1" spans="1:14">
      <c r="A186" s="1" t="s">
        <v>239</v>
      </c>
      <c r="B186" s="1">
        <v>216</v>
      </c>
      <c r="C186" s="1">
        <v>34</v>
      </c>
      <c r="D186" s="3" t="str">
        <f>IFERROR(VLOOKUP($C186,merchants!$A$1:$D$41,2,FALSE),"Merchant not found")</f>
        <v>Merchant_034</v>
      </c>
      <c r="E186" s="3" t="str">
        <f>IFERROR(VLOOKUP($C186,merchants!$A$1:$D$41,3,FALSE),"Merchant not found")</f>
        <v>travel</v>
      </c>
      <c r="F186" s="3" t="str">
        <f>IFERROR(VLOOKUP($C186,merchants!$A$1:$D$41,4,FALSE),"Merchant not found")</f>
        <v>South</v>
      </c>
      <c r="G186" s="5">
        <v>46031.0472222222</v>
      </c>
      <c r="H186" s="1">
        <v>299</v>
      </c>
      <c r="I186" s="1" t="s">
        <v>64</v>
      </c>
      <c r="J186" s="1" t="s">
        <v>50</v>
      </c>
      <c r="K186" s="1">
        <v>14</v>
      </c>
      <c r="L186" s="6">
        <f>IFERROR(HLOOKUP($I186,Reference!$B$1:$E$2,2,FALSE),0)</f>
        <v>0.02</v>
      </c>
      <c r="M186" s="7">
        <f t="shared" si="0"/>
        <v>46031</v>
      </c>
      <c r="N186" s="3" t="str">
        <f t="shared" si="1"/>
        <v>Regular</v>
      </c>
    </row>
    <row r="187" customHeight="1" spans="1:14">
      <c r="A187" s="1" t="s">
        <v>240</v>
      </c>
      <c r="B187" s="1">
        <v>230</v>
      </c>
      <c r="C187" s="1">
        <v>24</v>
      </c>
      <c r="D187" s="3" t="str">
        <f>IFERROR(VLOOKUP($C187,merchants!$A$1:$D$41,2,FALSE),"Merchant not found")</f>
        <v>Merchant_024</v>
      </c>
      <c r="E187" s="3" t="str">
        <f>IFERROR(VLOOKUP($C187,merchants!$A$1:$D$41,3,FALSE),"Merchant not found")</f>
        <v>grocery</v>
      </c>
      <c r="F187" s="3" t="str">
        <f>IFERROR(VLOOKUP($C187,merchants!$A$1:$D$41,4,FALSE),"Merchant not found")</f>
        <v>North</v>
      </c>
      <c r="G187" s="5">
        <v>46046.1041666667</v>
      </c>
      <c r="H187" s="1">
        <v>49</v>
      </c>
      <c r="I187" s="1" t="s">
        <v>52</v>
      </c>
      <c r="J187" s="1" t="s">
        <v>50</v>
      </c>
      <c r="K187" s="1">
        <v>65</v>
      </c>
      <c r="L187" s="6">
        <f>IFERROR(HLOOKUP($I187,Reference!$B$1:$E$2,2,FALSE),0)</f>
        <v>0</v>
      </c>
      <c r="M187" s="7">
        <f t="shared" si="0"/>
        <v>46046</v>
      </c>
      <c r="N187" s="3" t="str">
        <f t="shared" si="1"/>
        <v>Regular</v>
      </c>
    </row>
    <row r="188" customHeight="1" spans="1:14">
      <c r="A188" s="1" t="s">
        <v>241</v>
      </c>
      <c r="B188" s="1">
        <v>258</v>
      </c>
      <c r="C188" s="1">
        <v>15</v>
      </c>
      <c r="D188" s="3" t="str">
        <f>IFERROR(VLOOKUP($C188,merchants!$A$1:$D$41,2,FALSE),"Merchant not found")</f>
        <v>Merchant_015</v>
      </c>
      <c r="E188" s="3" t="str">
        <f>IFERROR(VLOOKUP($C188,merchants!$A$1:$D$41,3,FALSE),"Merchant not found")</f>
        <v>travel</v>
      </c>
      <c r="F188" s="3" t="str">
        <f>IFERROR(VLOOKUP($C188,merchants!$A$1:$D$41,4,FALSE),"Merchant not found")</f>
        <v>North</v>
      </c>
      <c r="G188" s="5">
        <v>46041.1444444444</v>
      </c>
      <c r="H188" s="1">
        <v>499</v>
      </c>
      <c r="I188" s="1" t="s">
        <v>49</v>
      </c>
      <c r="J188" s="1" t="s">
        <v>50</v>
      </c>
      <c r="K188" s="1">
        <v>78</v>
      </c>
      <c r="L188" s="6">
        <f>IFERROR(HLOOKUP($I188,Reference!$B$1:$E$2,2,FALSE),0)</f>
        <v>0.015</v>
      </c>
      <c r="M188" s="7">
        <f t="shared" si="0"/>
        <v>46041</v>
      </c>
      <c r="N188" s="3" t="str">
        <f t="shared" si="1"/>
        <v>Regular</v>
      </c>
    </row>
    <row r="189" customHeight="1" spans="1:14">
      <c r="A189" s="1" t="s">
        <v>242</v>
      </c>
      <c r="B189" s="1">
        <v>338</v>
      </c>
      <c r="C189" s="1">
        <v>34</v>
      </c>
      <c r="D189" s="3" t="str">
        <f>IFERROR(VLOOKUP($C189,merchants!$A$1:$D$41,2,FALSE),"Merchant not found")</f>
        <v>Merchant_034</v>
      </c>
      <c r="E189" s="3" t="str">
        <f>IFERROR(VLOOKUP($C189,merchants!$A$1:$D$41,3,FALSE),"Merchant not found")</f>
        <v>travel</v>
      </c>
      <c r="F189" s="3" t="str">
        <f>IFERROR(VLOOKUP($C189,merchants!$A$1:$D$41,4,FALSE),"Merchant not found")</f>
        <v>South</v>
      </c>
      <c r="G189" s="5">
        <v>46024.9930555556</v>
      </c>
      <c r="H189" s="1">
        <v>49</v>
      </c>
      <c r="I189" s="1" t="s">
        <v>52</v>
      </c>
      <c r="J189" s="1" t="s">
        <v>50</v>
      </c>
      <c r="K189" s="1">
        <v>38</v>
      </c>
      <c r="L189" s="6">
        <f>IFERROR(HLOOKUP($I189,Reference!$B$1:$E$2,2,FALSE),0)</f>
        <v>0</v>
      </c>
      <c r="M189" s="7">
        <f t="shared" si="0"/>
        <v>46024</v>
      </c>
      <c r="N189" s="3" t="str">
        <f t="shared" si="1"/>
        <v>Regular</v>
      </c>
    </row>
    <row r="190" customHeight="1" spans="1:14">
      <c r="A190" s="1" t="s">
        <v>243</v>
      </c>
      <c r="B190" s="1">
        <v>32</v>
      </c>
      <c r="C190" s="1">
        <v>31</v>
      </c>
      <c r="D190" s="3" t="str">
        <f>IFERROR(VLOOKUP($C190,merchants!$A$1:$D$41,2,FALSE),"Merchant not found")</f>
        <v>Merchant_031</v>
      </c>
      <c r="E190" s="3" t="str">
        <f>IFERROR(VLOOKUP($C190,merchants!$A$1:$D$41,3,FALSE),"Merchant not found")</f>
        <v>bill_payment</v>
      </c>
      <c r="F190" s="3" t="str">
        <f>IFERROR(VLOOKUP($C190,merchants!$A$1:$D$41,4,FALSE),"Merchant not found")</f>
        <v>East</v>
      </c>
      <c r="G190" s="5">
        <v>46037.8340277778</v>
      </c>
      <c r="H190" s="1">
        <v>299</v>
      </c>
      <c r="I190" s="1" t="s">
        <v>52</v>
      </c>
      <c r="J190" s="1" t="s">
        <v>50</v>
      </c>
      <c r="K190" s="1">
        <v>51</v>
      </c>
      <c r="L190" s="6">
        <f>IFERROR(HLOOKUP($I190,Reference!$B$1:$E$2,2,FALSE),0)</f>
        <v>0</v>
      </c>
      <c r="M190" s="7">
        <f t="shared" si="0"/>
        <v>46037</v>
      </c>
      <c r="N190" s="3" t="str">
        <f t="shared" si="1"/>
        <v>Regular</v>
      </c>
    </row>
    <row r="191" customHeight="1" spans="1:14">
      <c r="A191" s="1" t="s">
        <v>244</v>
      </c>
      <c r="B191" s="1">
        <v>252</v>
      </c>
      <c r="C191" s="1">
        <v>29</v>
      </c>
      <c r="D191" s="3" t="str">
        <f>IFERROR(VLOOKUP($C191,merchants!$A$1:$D$41,2,FALSE),"Merchant not found")</f>
        <v>Merchant_029</v>
      </c>
      <c r="E191" s="3" t="str">
        <f>IFERROR(VLOOKUP($C191,merchants!$A$1:$D$41,3,FALSE),"Merchant not found")</f>
        <v>ecommerce</v>
      </c>
      <c r="F191" s="3" t="str">
        <f>IFERROR(VLOOKUP($C191,merchants!$A$1:$D$41,4,FALSE),"Merchant not found")</f>
        <v>North</v>
      </c>
      <c r="G191" s="5">
        <v>46036.8791666667</v>
      </c>
      <c r="H191" s="1">
        <v>1499</v>
      </c>
      <c r="I191" s="1" t="s">
        <v>52</v>
      </c>
      <c r="J191" s="1" t="s">
        <v>50</v>
      </c>
      <c r="K191" s="1">
        <v>9</v>
      </c>
      <c r="L191" s="6">
        <f>IFERROR(HLOOKUP($I191,Reference!$B$1:$E$2,2,FALSE),0)</f>
        <v>0</v>
      </c>
      <c r="M191" s="7">
        <f t="shared" si="0"/>
        <v>46036</v>
      </c>
      <c r="N191" s="3" t="str">
        <f t="shared" si="1"/>
        <v>Regular</v>
      </c>
    </row>
    <row r="192" customHeight="1" spans="1:14">
      <c r="A192" s="1" t="s">
        <v>245</v>
      </c>
      <c r="B192" s="1">
        <v>312</v>
      </c>
      <c r="C192" s="1">
        <v>10</v>
      </c>
      <c r="D192" s="3" t="str">
        <f>IFERROR(VLOOKUP($C192,merchants!$A$1:$D$41,2,FALSE),"Merchant not found")</f>
        <v>Merchant_010</v>
      </c>
      <c r="E192" s="3" t="str">
        <f>IFERROR(VLOOKUP($C192,merchants!$A$1:$D$41,3,FALSE),"Merchant not found")</f>
        <v>grocery</v>
      </c>
      <c r="F192" s="3" t="str">
        <f>IFERROR(VLOOKUP($C192,merchants!$A$1:$D$41,4,FALSE),"Merchant not found")</f>
        <v>West</v>
      </c>
      <c r="G192" s="5">
        <v>46051.0972222222</v>
      </c>
      <c r="H192" s="1">
        <v>799</v>
      </c>
      <c r="I192" s="1" t="s">
        <v>52</v>
      </c>
      <c r="J192" s="1" t="s">
        <v>50</v>
      </c>
      <c r="K192" s="1">
        <v>8</v>
      </c>
      <c r="L192" s="6">
        <f>IFERROR(HLOOKUP($I192,Reference!$B$1:$E$2,2,FALSE),0)</f>
        <v>0</v>
      </c>
      <c r="M192" s="7">
        <f t="shared" si="0"/>
        <v>46051</v>
      </c>
      <c r="N192" s="3" t="str">
        <f t="shared" si="1"/>
        <v>Regular</v>
      </c>
    </row>
    <row r="193" customHeight="1" spans="1:14">
      <c r="A193" s="1" t="s">
        <v>246</v>
      </c>
      <c r="B193" s="1">
        <v>325</v>
      </c>
      <c r="C193" s="1">
        <v>38</v>
      </c>
      <c r="D193" s="3" t="str">
        <f>IFERROR(VLOOKUP($C193,merchants!$A$1:$D$41,2,FALSE),"Merchant not found")</f>
        <v>Merchant_038</v>
      </c>
      <c r="E193" s="3" t="str">
        <f>IFERROR(VLOOKUP($C193,merchants!$A$1:$D$41,3,FALSE),"Merchant not found")</f>
        <v>grocery</v>
      </c>
      <c r="F193" s="3" t="str">
        <f>IFERROR(VLOOKUP($C193,merchants!$A$1:$D$41,4,FALSE),"Merchant not found")</f>
        <v>East</v>
      </c>
      <c r="G193" s="5">
        <v>46027.3604166667</v>
      </c>
      <c r="H193" s="1">
        <v>1499</v>
      </c>
      <c r="I193" s="1" t="s">
        <v>55</v>
      </c>
      <c r="J193" s="1" t="s">
        <v>50</v>
      </c>
      <c r="K193" s="1">
        <v>70</v>
      </c>
      <c r="L193" s="6">
        <f>IFERROR(HLOOKUP($I193,Reference!$B$1:$E$2,2,FALSE),0)</f>
        <v>0.01</v>
      </c>
      <c r="M193" s="7">
        <f t="shared" si="0"/>
        <v>46027</v>
      </c>
      <c r="N193" s="3" t="str">
        <f t="shared" si="1"/>
        <v>Regular</v>
      </c>
    </row>
    <row r="194" customHeight="1" spans="1:14">
      <c r="A194" s="1" t="s">
        <v>247</v>
      </c>
      <c r="B194" s="1">
        <v>306</v>
      </c>
      <c r="C194" s="1">
        <v>34</v>
      </c>
      <c r="D194" s="3" t="str">
        <f>IFERROR(VLOOKUP($C194,merchants!$A$1:$D$41,2,FALSE),"Merchant not found")</f>
        <v>Merchant_034</v>
      </c>
      <c r="E194" s="3" t="str">
        <f>IFERROR(VLOOKUP($C194,merchants!$A$1:$D$41,3,FALSE),"Merchant not found")</f>
        <v>travel</v>
      </c>
      <c r="F194" s="3" t="str">
        <f>IFERROR(VLOOKUP($C194,merchants!$A$1:$D$41,4,FALSE),"Merchant not found")</f>
        <v>South</v>
      </c>
      <c r="G194" s="5">
        <v>46045.4333333333</v>
      </c>
      <c r="H194" s="1">
        <v>2999</v>
      </c>
      <c r="I194" s="1" t="s">
        <v>52</v>
      </c>
      <c r="J194" s="1" t="s">
        <v>50</v>
      </c>
      <c r="K194" s="1">
        <v>37</v>
      </c>
      <c r="L194" s="6">
        <f>IFERROR(HLOOKUP($I194,Reference!$B$1:$E$2,2,FALSE),0)</f>
        <v>0</v>
      </c>
      <c r="M194" s="7">
        <f t="shared" si="0"/>
        <v>46045</v>
      </c>
      <c r="N194" s="3" t="str">
        <f t="shared" si="1"/>
        <v>Regular</v>
      </c>
    </row>
    <row r="195" customHeight="1" spans="1:14">
      <c r="A195" s="1" t="s">
        <v>248</v>
      </c>
      <c r="B195" s="1">
        <v>221</v>
      </c>
      <c r="C195" s="1">
        <v>7</v>
      </c>
      <c r="D195" s="3" t="str">
        <f>IFERROR(VLOOKUP($C195,merchants!$A$1:$D$41,2,FALSE),"Merchant not found")</f>
        <v>Merchant_007</v>
      </c>
      <c r="E195" s="3" t="str">
        <f>IFERROR(VLOOKUP($C195,merchants!$A$1:$D$41,3,FALSE),"Merchant not found")</f>
        <v>food_delivery</v>
      </c>
      <c r="F195" s="3" t="str">
        <f>IFERROR(VLOOKUP($C195,merchants!$A$1:$D$41,4,FALSE),"Merchant not found")</f>
        <v>East</v>
      </c>
      <c r="G195" s="5">
        <v>46037.6930555556</v>
      </c>
      <c r="H195" s="1">
        <v>149</v>
      </c>
      <c r="I195" s="1" t="s">
        <v>55</v>
      </c>
      <c r="J195" s="1" t="s">
        <v>50</v>
      </c>
      <c r="K195" s="1">
        <v>89</v>
      </c>
      <c r="L195" s="6">
        <f>IFERROR(HLOOKUP($I195,Reference!$B$1:$E$2,2,FALSE),0)</f>
        <v>0.01</v>
      </c>
      <c r="M195" s="7">
        <f t="shared" si="0"/>
        <v>46037</v>
      </c>
      <c r="N195" s="3" t="str">
        <f t="shared" si="1"/>
        <v>Regular</v>
      </c>
    </row>
    <row r="196" customHeight="1" spans="1:14">
      <c r="A196" s="1" t="s">
        <v>249</v>
      </c>
      <c r="B196" s="1">
        <v>283</v>
      </c>
      <c r="C196" s="1">
        <v>14</v>
      </c>
      <c r="D196" s="3" t="str">
        <f>IFERROR(VLOOKUP($C196,merchants!$A$1:$D$41,2,FALSE),"Merchant not found")</f>
        <v>Merchant_014</v>
      </c>
      <c r="E196" s="3" t="str">
        <f>IFERROR(VLOOKUP($C196,merchants!$A$1:$D$41,3,FALSE),"Merchant not found")</f>
        <v>grocery</v>
      </c>
      <c r="F196" s="3" t="str">
        <f>IFERROR(VLOOKUP($C196,merchants!$A$1:$D$41,4,FALSE),"Merchant not found")</f>
        <v>East</v>
      </c>
      <c r="G196" s="5">
        <v>46026.8618055556</v>
      </c>
      <c r="H196" s="1">
        <v>99</v>
      </c>
      <c r="I196" s="1" t="s">
        <v>49</v>
      </c>
      <c r="J196" s="1" t="s">
        <v>50</v>
      </c>
      <c r="K196" s="1">
        <v>55</v>
      </c>
      <c r="L196" s="6">
        <f>IFERROR(HLOOKUP($I196,Reference!$B$1:$E$2,2,FALSE),0)</f>
        <v>0.015</v>
      </c>
      <c r="M196" s="7">
        <f t="shared" si="0"/>
        <v>46026</v>
      </c>
      <c r="N196" s="3" t="str">
        <f t="shared" si="1"/>
        <v>Regular</v>
      </c>
    </row>
    <row r="197" customHeight="1" spans="1:14">
      <c r="A197" s="1" t="s">
        <v>250</v>
      </c>
      <c r="B197" s="1">
        <v>174</v>
      </c>
      <c r="C197" s="1">
        <v>30</v>
      </c>
      <c r="D197" s="3" t="str">
        <f>IFERROR(VLOOKUP($C197,merchants!$A$1:$D$41,2,FALSE),"Merchant not found")</f>
        <v>Merchant_030</v>
      </c>
      <c r="E197" s="3" t="str">
        <f>IFERROR(VLOOKUP($C197,merchants!$A$1:$D$41,3,FALSE),"Merchant not found")</f>
        <v>travel</v>
      </c>
      <c r="F197" s="3" t="str">
        <f>IFERROR(VLOOKUP($C197,merchants!$A$1:$D$41,4,FALSE),"Merchant not found")</f>
        <v>West</v>
      </c>
      <c r="G197" s="5">
        <v>46037.3097222222</v>
      </c>
      <c r="H197" s="1">
        <v>49</v>
      </c>
      <c r="I197" s="1" t="s">
        <v>52</v>
      </c>
      <c r="J197" s="1" t="s">
        <v>50</v>
      </c>
      <c r="K197" s="1">
        <v>51</v>
      </c>
      <c r="L197" s="6">
        <f>IFERROR(HLOOKUP($I197,Reference!$B$1:$E$2,2,FALSE),0)</f>
        <v>0</v>
      </c>
      <c r="M197" s="7">
        <f t="shared" si="0"/>
        <v>46037</v>
      </c>
      <c r="N197" s="3" t="str">
        <f t="shared" si="1"/>
        <v>Regular</v>
      </c>
    </row>
    <row r="198" customHeight="1" spans="1:14">
      <c r="A198" s="1" t="s">
        <v>251</v>
      </c>
      <c r="B198" s="1">
        <v>161</v>
      </c>
      <c r="C198" s="1">
        <v>28</v>
      </c>
      <c r="D198" s="3" t="str">
        <f>IFERROR(VLOOKUP($C198,merchants!$A$1:$D$41,2,FALSE),"Merchant not found")</f>
        <v>Merchant_028</v>
      </c>
      <c r="E198" s="3" t="str">
        <f>IFERROR(VLOOKUP($C198,merchants!$A$1:$D$41,3,FALSE),"Merchant not found")</f>
        <v>ecommerce</v>
      </c>
      <c r="F198" s="3" t="str">
        <f>IFERROR(VLOOKUP($C198,merchants!$A$1:$D$41,4,FALSE),"Merchant not found")</f>
        <v>South</v>
      </c>
      <c r="G198" s="5">
        <v>46036.9625</v>
      </c>
      <c r="H198" s="1">
        <v>49</v>
      </c>
      <c r="I198" s="1" t="s">
        <v>52</v>
      </c>
      <c r="J198" s="1" t="s">
        <v>50</v>
      </c>
      <c r="K198" s="1">
        <v>40</v>
      </c>
      <c r="L198" s="6">
        <f>IFERROR(HLOOKUP($I198,Reference!$B$1:$E$2,2,FALSE),0)</f>
        <v>0</v>
      </c>
      <c r="M198" s="7">
        <f t="shared" si="0"/>
        <v>46036</v>
      </c>
      <c r="N198" s="3" t="str">
        <f t="shared" si="1"/>
        <v>Regular</v>
      </c>
    </row>
    <row r="199" customHeight="1" spans="1:14">
      <c r="A199" s="1" t="s">
        <v>252</v>
      </c>
      <c r="B199" s="1">
        <v>79</v>
      </c>
      <c r="C199" s="1">
        <v>31</v>
      </c>
      <c r="D199" s="3" t="str">
        <f>IFERROR(VLOOKUP($C199,merchants!$A$1:$D$41,2,FALSE),"Merchant not found")</f>
        <v>Merchant_031</v>
      </c>
      <c r="E199" s="3" t="str">
        <f>IFERROR(VLOOKUP($C199,merchants!$A$1:$D$41,3,FALSE),"Merchant not found")</f>
        <v>bill_payment</v>
      </c>
      <c r="F199" s="3" t="str">
        <f>IFERROR(VLOOKUP($C199,merchants!$A$1:$D$41,4,FALSE),"Merchant not found")</f>
        <v>East</v>
      </c>
      <c r="G199" s="5">
        <v>46044.3493055556</v>
      </c>
      <c r="H199" s="1">
        <v>99</v>
      </c>
      <c r="I199" s="1" t="s">
        <v>52</v>
      </c>
      <c r="J199" s="1" t="s">
        <v>50</v>
      </c>
      <c r="K199" s="1">
        <v>8</v>
      </c>
      <c r="L199" s="6">
        <f>IFERROR(HLOOKUP($I199,Reference!$B$1:$E$2,2,FALSE),0)</f>
        <v>0</v>
      </c>
      <c r="M199" s="7">
        <f t="shared" si="0"/>
        <v>46044</v>
      </c>
      <c r="N199" s="3" t="str">
        <f t="shared" si="1"/>
        <v>Regular</v>
      </c>
    </row>
    <row r="200" customHeight="1" spans="1:14">
      <c r="A200" s="1" t="s">
        <v>253</v>
      </c>
      <c r="B200" s="1">
        <v>222</v>
      </c>
      <c r="C200" s="1">
        <v>7</v>
      </c>
      <c r="D200" s="3" t="str">
        <f>IFERROR(VLOOKUP($C200,merchants!$A$1:$D$41,2,FALSE),"Merchant not found")</f>
        <v>Merchant_007</v>
      </c>
      <c r="E200" s="3" t="str">
        <f>IFERROR(VLOOKUP($C200,merchants!$A$1:$D$41,3,FALSE),"Merchant not found")</f>
        <v>food_delivery</v>
      </c>
      <c r="F200" s="3" t="str">
        <f>IFERROR(VLOOKUP($C200,merchants!$A$1:$D$41,4,FALSE),"Merchant not found")</f>
        <v>East</v>
      </c>
      <c r="G200" s="5">
        <v>46025.0868055556</v>
      </c>
      <c r="H200" s="1">
        <v>149</v>
      </c>
      <c r="I200" s="1" t="s">
        <v>49</v>
      </c>
      <c r="J200" s="1" t="s">
        <v>50</v>
      </c>
      <c r="K200" s="1">
        <v>95</v>
      </c>
      <c r="L200" s="6">
        <f>IFERROR(HLOOKUP($I200,Reference!$B$1:$E$2,2,FALSE),0)</f>
        <v>0.015</v>
      </c>
      <c r="M200" s="7">
        <f t="shared" si="0"/>
        <v>46025</v>
      </c>
      <c r="N200" s="3" t="str">
        <f t="shared" si="1"/>
        <v>Regular</v>
      </c>
    </row>
    <row r="201" customHeight="1" spans="1:14">
      <c r="A201" s="1" t="s">
        <v>254</v>
      </c>
      <c r="B201" s="1">
        <v>67</v>
      </c>
      <c r="C201" s="1">
        <v>36</v>
      </c>
      <c r="D201" s="3" t="str">
        <f>IFERROR(VLOOKUP($C201,merchants!$A$1:$D$41,2,FALSE),"Merchant not found")</f>
        <v>Merchant_036</v>
      </c>
      <c r="E201" s="3" t="str">
        <f>IFERROR(VLOOKUP($C201,merchants!$A$1:$D$41,3,FALSE),"Merchant not found")</f>
        <v>entertainment</v>
      </c>
      <c r="F201" s="3" t="str">
        <f>IFERROR(VLOOKUP($C201,merchants!$A$1:$D$41,4,FALSE),"Merchant not found")</f>
        <v>East</v>
      </c>
      <c r="G201" s="5">
        <v>46046.49375</v>
      </c>
      <c r="H201" s="1">
        <v>99</v>
      </c>
      <c r="I201" s="1" t="s">
        <v>52</v>
      </c>
      <c r="J201" s="1" t="s">
        <v>50</v>
      </c>
      <c r="K201" s="1">
        <v>7</v>
      </c>
      <c r="L201" s="6">
        <f>IFERROR(HLOOKUP($I201,Reference!$B$1:$E$2,2,FALSE),0)</f>
        <v>0</v>
      </c>
      <c r="M201" s="7">
        <f t="shared" si="0"/>
        <v>46046</v>
      </c>
      <c r="N201" s="3" t="str">
        <f t="shared" si="1"/>
        <v>Regular</v>
      </c>
    </row>
    <row r="202" customHeight="1" spans="1:14">
      <c r="A202" s="1" t="s">
        <v>255</v>
      </c>
      <c r="B202" s="1">
        <v>169</v>
      </c>
      <c r="C202" s="1">
        <v>8</v>
      </c>
      <c r="D202" s="3" t="str">
        <f>IFERROR(VLOOKUP($C202,merchants!$A$1:$D$41,2,FALSE),"Merchant not found")</f>
        <v>Merchant_008</v>
      </c>
      <c r="E202" s="3" t="str">
        <f>IFERROR(VLOOKUP($C202,merchants!$A$1:$D$41,3,FALSE),"Merchant not found")</f>
        <v>food_delivery</v>
      </c>
      <c r="F202" s="3" t="str">
        <f>IFERROR(VLOOKUP($C202,merchants!$A$1:$D$41,4,FALSE),"Merchant not found")</f>
        <v>North</v>
      </c>
      <c r="G202" s="5">
        <v>46041.7326388889</v>
      </c>
      <c r="H202" s="1">
        <v>99</v>
      </c>
      <c r="I202" s="1" t="s">
        <v>52</v>
      </c>
      <c r="J202" s="1" t="s">
        <v>50</v>
      </c>
      <c r="K202" s="1">
        <v>52</v>
      </c>
      <c r="L202" s="6">
        <f>IFERROR(HLOOKUP($I202,Reference!$B$1:$E$2,2,FALSE),0)</f>
        <v>0</v>
      </c>
      <c r="M202" s="7">
        <f t="shared" si="0"/>
        <v>46041</v>
      </c>
      <c r="N202" s="3" t="str">
        <f t="shared" si="1"/>
        <v>Regular</v>
      </c>
    </row>
    <row r="203" customHeight="1" spans="1:14">
      <c r="A203" s="1" t="s">
        <v>256</v>
      </c>
      <c r="B203" s="1">
        <v>217</v>
      </c>
      <c r="C203" s="1">
        <v>4</v>
      </c>
      <c r="D203" s="3" t="str">
        <f>IFERROR(VLOOKUP($C203,merchants!$A$1:$D$41,2,FALSE),"Merchant not found")</f>
        <v>Merchant_004</v>
      </c>
      <c r="E203" s="3" t="str">
        <f>IFERROR(VLOOKUP($C203,merchants!$A$1:$D$41,3,FALSE),"Merchant not found")</f>
        <v>ecommerce</v>
      </c>
      <c r="F203" s="3" t="str">
        <f>IFERROR(VLOOKUP($C203,merchants!$A$1:$D$41,4,FALSE),"Merchant not found")</f>
        <v>East</v>
      </c>
      <c r="G203" s="5">
        <v>46034.9083333333</v>
      </c>
      <c r="H203" s="1">
        <v>49</v>
      </c>
      <c r="I203" s="1" t="s">
        <v>52</v>
      </c>
      <c r="J203" s="1" t="s">
        <v>50</v>
      </c>
      <c r="K203" s="1">
        <v>36</v>
      </c>
      <c r="L203" s="6">
        <f>IFERROR(HLOOKUP($I203,Reference!$B$1:$E$2,2,FALSE),0)</f>
        <v>0</v>
      </c>
      <c r="M203" s="7">
        <f t="shared" si="0"/>
        <v>46034</v>
      </c>
      <c r="N203" s="3" t="str">
        <f t="shared" si="1"/>
        <v>Regular</v>
      </c>
    </row>
    <row r="204" customHeight="1" spans="1:14">
      <c r="A204" s="1" t="s">
        <v>257</v>
      </c>
      <c r="B204" s="1">
        <v>54</v>
      </c>
      <c r="C204" s="1">
        <v>37</v>
      </c>
      <c r="D204" s="3" t="str">
        <f>IFERROR(VLOOKUP($C204,merchants!$A$1:$D$41,2,FALSE),"Merchant not found")</f>
        <v>Merchant_037</v>
      </c>
      <c r="E204" s="3" t="str">
        <f>IFERROR(VLOOKUP($C204,merchants!$A$1:$D$41,3,FALSE),"Merchant not found")</f>
        <v>entertainment</v>
      </c>
      <c r="F204" s="3" t="str">
        <f>IFERROR(VLOOKUP($C204,merchants!$A$1:$D$41,4,FALSE),"Merchant not found")</f>
        <v>South</v>
      </c>
      <c r="G204" s="5">
        <v>46042.3902777778</v>
      </c>
      <c r="H204" s="1">
        <v>149</v>
      </c>
      <c r="I204" s="1" t="s">
        <v>52</v>
      </c>
      <c r="J204" s="1" t="s">
        <v>50</v>
      </c>
      <c r="K204" s="1">
        <v>64</v>
      </c>
      <c r="L204" s="6">
        <f>IFERROR(HLOOKUP($I204,Reference!$B$1:$E$2,2,FALSE),0)</f>
        <v>0</v>
      </c>
      <c r="M204" s="7">
        <f t="shared" si="0"/>
        <v>46042</v>
      </c>
      <c r="N204" s="3" t="str">
        <f t="shared" si="1"/>
        <v>Regular</v>
      </c>
    </row>
    <row r="205" customHeight="1" spans="1:14">
      <c r="A205" s="1" t="s">
        <v>258</v>
      </c>
      <c r="B205" s="1">
        <v>247</v>
      </c>
      <c r="C205" s="1">
        <v>15</v>
      </c>
      <c r="D205" s="3" t="str">
        <f>IFERROR(VLOOKUP($C205,merchants!$A$1:$D$41,2,FALSE),"Merchant not found")</f>
        <v>Merchant_015</v>
      </c>
      <c r="E205" s="3" t="str">
        <f>IFERROR(VLOOKUP($C205,merchants!$A$1:$D$41,3,FALSE),"Merchant not found")</f>
        <v>travel</v>
      </c>
      <c r="F205" s="3" t="str">
        <f>IFERROR(VLOOKUP($C205,merchants!$A$1:$D$41,4,FALSE),"Merchant not found")</f>
        <v>North</v>
      </c>
      <c r="G205" s="5">
        <v>46029.1958333333</v>
      </c>
      <c r="H205" s="1">
        <v>49</v>
      </c>
      <c r="I205" s="1" t="s">
        <v>64</v>
      </c>
      <c r="J205" s="1" t="s">
        <v>50</v>
      </c>
      <c r="K205" s="1">
        <v>13</v>
      </c>
      <c r="L205" s="6">
        <f>IFERROR(HLOOKUP($I205,Reference!$B$1:$E$2,2,FALSE),0)</f>
        <v>0.02</v>
      </c>
      <c r="M205" s="7">
        <f t="shared" si="0"/>
        <v>46029</v>
      </c>
      <c r="N205" s="3" t="str">
        <f t="shared" si="1"/>
        <v>Regular</v>
      </c>
    </row>
    <row r="206" customHeight="1" spans="1:14">
      <c r="A206" s="1" t="s">
        <v>259</v>
      </c>
      <c r="B206" s="1">
        <v>59</v>
      </c>
      <c r="C206" s="1">
        <v>18</v>
      </c>
      <c r="D206" s="3" t="str">
        <f>IFERROR(VLOOKUP($C206,merchants!$A$1:$D$41,2,FALSE),"Merchant not found")</f>
        <v>Merchant_018</v>
      </c>
      <c r="E206" s="3" t="str">
        <f>IFERROR(VLOOKUP($C206,merchants!$A$1:$D$41,3,FALSE),"Merchant not found")</f>
        <v>grocery</v>
      </c>
      <c r="F206" s="3" t="str">
        <f>IFERROR(VLOOKUP($C206,merchants!$A$1:$D$41,4,FALSE),"Merchant not found")</f>
        <v>West</v>
      </c>
      <c r="G206" s="5">
        <v>46034.7243055556</v>
      </c>
      <c r="H206" s="1">
        <v>49</v>
      </c>
      <c r="I206" s="1" t="s">
        <v>64</v>
      </c>
      <c r="J206" s="1" t="s">
        <v>50</v>
      </c>
      <c r="K206" s="1">
        <v>73</v>
      </c>
      <c r="L206" s="6">
        <f>IFERROR(HLOOKUP($I206,Reference!$B$1:$E$2,2,FALSE),0)</f>
        <v>0.02</v>
      </c>
      <c r="M206" s="7">
        <f t="shared" si="0"/>
        <v>46034</v>
      </c>
      <c r="N206" s="3" t="str">
        <f t="shared" si="1"/>
        <v>Regular</v>
      </c>
    </row>
    <row r="207" customHeight="1" spans="1:14">
      <c r="A207" s="1" t="s">
        <v>260</v>
      </c>
      <c r="B207" s="1">
        <v>288</v>
      </c>
      <c r="C207" s="1">
        <v>40</v>
      </c>
      <c r="D207" s="3" t="str">
        <f>IFERROR(VLOOKUP($C207,merchants!$A$1:$D$41,2,FALSE),"Merchant not found")</f>
        <v>Merchant_040</v>
      </c>
      <c r="E207" s="3" t="str">
        <f>IFERROR(VLOOKUP($C207,merchants!$A$1:$D$41,3,FALSE),"Merchant not found")</f>
        <v>entertainment</v>
      </c>
      <c r="F207" s="3" t="str">
        <f>IFERROR(VLOOKUP($C207,merchants!$A$1:$D$41,4,FALSE),"Merchant not found")</f>
        <v>South</v>
      </c>
      <c r="G207" s="5">
        <v>46030.5791666667</v>
      </c>
      <c r="H207" s="1">
        <v>49</v>
      </c>
      <c r="I207" s="1" t="s">
        <v>52</v>
      </c>
      <c r="J207" s="1" t="s">
        <v>65</v>
      </c>
      <c r="K207" s="1">
        <v>78</v>
      </c>
      <c r="L207" s="6">
        <f>IFERROR(HLOOKUP($I207,Reference!$B$1:$E$2,2,FALSE),0)</f>
        <v>0</v>
      </c>
      <c r="M207" s="7">
        <f t="shared" si="0"/>
        <v>46030</v>
      </c>
      <c r="N207" s="3" t="str">
        <f t="shared" si="1"/>
        <v>Regular</v>
      </c>
    </row>
    <row r="208" customHeight="1" spans="1:14">
      <c r="A208" s="1" t="s">
        <v>261</v>
      </c>
      <c r="B208" s="1">
        <v>14</v>
      </c>
      <c r="C208" s="1">
        <v>39</v>
      </c>
      <c r="D208" s="3" t="str">
        <f>IFERROR(VLOOKUP($C208,merchants!$A$1:$D$41,2,FALSE),"Merchant not found")</f>
        <v>Merchant_039</v>
      </c>
      <c r="E208" s="3" t="str">
        <f>IFERROR(VLOOKUP($C208,merchants!$A$1:$D$41,3,FALSE),"Merchant not found")</f>
        <v>entertainment</v>
      </c>
      <c r="F208" s="3" t="str">
        <f>IFERROR(VLOOKUP($C208,merchants!$A$1:$D$41,4,FALSE),"Merchant not found")</f>
        <v>North</v>
      </c>
      <c r="G208" s="5">
        <v>46044.8576388889</v>
      </c>
      <c r="H208" s="1">
        <v>799</v>
      </c>
      <c r="I208" s="1" t="s">
        <v>52</v>
      </c>
      <c r="J208" s="1" t="s">
        <v>50</v>
      </c>
      <c r="K208" s="1">
        <v>84</v>
      </c>
      <c r="L208" s="6">
        <f>IFERROR(HLOOKUP($I208,Reference!$B$1:$E$2,2,FALSE),0)</f>
        <v>0</v>
      </c>
      <c r="M208" s="7">
        <f t="shared" si="0"/>
        <v>46044</v>
      </c>
      <c r="N208" s="3" t="str">
        <f t="shared" si="1"/>
        <v>High-Value Merchant Day</v>
      </c>
    </row>
    <row r="209" customHeight="1" spans="1:14">
      <c r="A209" s="1" t="s">
        <v>262</v>
      </c>
      <c r="B209" s="1">
        <v>15</v>
      </c>
      <c r="C209" s="1">
        <v>12</v>
      </c>
      <c r="D209" s="3" t="str">
        <f>IFERROR(VLOOKUP($C209,merchants!$A$1:$D$41,2,FALSE),"Merchant not found")</f>
        <v>Merchant_012</v>
      </c>
      <c r="E209" s="3" t="str">
        <f>IFERROR(VLOOKUP($C209,merchants!$A$1:$D$41,3,FALSE),"Merchant not found")</f>
        <v>ecommerce</v>
      </c>
      <c r="F209" s="3" t="str">
        <f>IFERROR(VLOOKUP($C209,merchants!$A$1:$D$41,4,FALSE),"Merchant not found")</f>
        <v>East</v>
      </c>
      <c r="G209" s="5">
        <v>46049.9284722222</v>
      </c>
      <c r="H209" s="1">
        <v>149</v>
      </c>
      <c r="I209" s="1" t="s">
        <v>52</v>
      </c>
      <c r="J209" s="1" t="s">
        <v>50</v>
      </c>
      <c r="K209" s="1">
        <v>34</v>
      </c>
      <c r="L209" s="6">
        <f>IFERROR(HLOOKUP($I209,Reference!$B$1:$E$2,2,FALSE),0)</f>
        <v>0</v>
      </c>
      <c r="M209" s="7">
        <f t="shared" si="0"/>
        <v>46049</v>
      </c>
      <c r="N209" s="3" t="str">
        <f t="shared" si="1"/>
        <v>Regular</v>
      </c>
    </row>
    <row r="210" customHeight="1" spans="1:14">
      <c r="A210" s="1" t="s">
        <v>263</v>
      </c>
      <c r="B210" s="1">
        <v>174</v>
      </c>
      <c r="C210" s="1">
        <v>23</v>
      </c>
      <c r="D210" s="3" t="str">
        <f>IFERROR(VLOOKUP($C210,merchants!$A$1:$D$41,2,FALSE),"Merchant not found")</f>
        <v>Merchant_023</v>
      </c>
      <c r="E210" s="3" t="str">
        <f>IFERROR(VLOOKUP($C210,merchants!$A$1:$D$41,3,FALSE),"Merchant not found")</f>
        <v>travel</v>
      </c>
      <c r="F210" s="3" t="str">
        <f>IFERROR(VLOOKUP($C210,merchants!$A$1:$D$41,4,FALSE),"Merchant not found")</f>
        <v>North</v>
      </c>
      <c r="G210" s="5">
        <v>46045.4152777778</v>
      </c>
      <c r="H210" s="1">
        <v>149</v>
      </c>
      <c r="I210" s="1" t="s">
        <v>52</v>
      </c>
      <c r="J210" s="1" t="s">
        <v>50</v>
      </c>
      <c r="K210" s="1">
        <v>0</v>
      </c>
      <c r="L210" s="6">
        <f>IFERROR(HLOOKUP($I210,Reference!$B$1:$E$2,2,FALSE),0)</f>
        <v>0</v>
      </c>
      <c r="M210" s="7">
        <f t="shared" si="0"/>
        <v>46045</v>
      </c>
      <c r="N210" s="3" t="str">
        <f t="shared" si="1"/>
        <v>Regular</v>
      </c>
    </row>
    <row r="211" customHeight="1" spans="1:14">
      <c r="A211" s="1" t="s">
        <v>264</v>
      </c>
      <c r="B211" s="1">
        <v>337</v>
      </c>
      <c r="C211" s="1">
        <v>26</v>
      </c>
      <c r="D211" s="3" t="str">
        <f>IFERROR(VLOOKUP($C211,merchants!$A$1:$D$41,2,FALSE),"Merchant not found")</f>
        <v>Merchant_026</v>
      </c>
      <c r="E211" s="3" t="str">
        <f>IFERROR(VLOOKUP($C211,merchants!$A$1:$D$41,3,FALSE),"Merchant not found")</f>
        <v>food_delivery</v>
      </c>
      <c r="F211" s="3" t="str">
        <f>IFERROR(VLOOKUP($C211,merchants!$A$1:$D$41,4,FALSE),"Merchant not found")</f>
        <v>East</v>
      </c>
      <c r="G211" s="5">
        <v>46028.1916666667</v>
      </c>
      <c r="H211" s="1">
        <v>49</v>
      </c>
      <c r="I211" s="1" t="s">
        <v>52</v>
      </c>
      <c r="J211" s="1" t="s">
        <v>50</v>
      </c>
      <c r="K211" s="1">
        <v>8</v>
      </c>
      <c r="L211" s="6">
        <f>IFERROR(HLOOKUP($I211,Reference!$B$1:$E$2,2,FALSE),0)</f>
        <v>0</v>
      </c>
      <c r="M211" s="7">
        <f t="shared" si="0"/>
        <v>46028</v>
      </c>
      <c r="N211" s="3" t="str">
        <f t="shared" si="1"/>
        <v>Regular</v>
      </c>
    </row>
    <row r="212" customHeight="1" spans="1:14">
      <c r="A212" s="1" t="s">
        <v>265</v>
      </c>
      <c r="B212" s="1">
        <v>16</v>
      </c>
      <c r="C212" s="1">
        <v>6</v>
      </c>
      <c r="D212" s="3" t="str">
        <f>IFERROR(VLOOKUP($C212,merchants!$A$1:$D$41,2,FALSE),"Merchant not found")</f>
        <v>Merchant_006</v>
      </c>
      <c r="E212" s="3" t="str">
        <f>IFERROR(VLOOKUP($C212,merchants!$A$1:$D$41,3,FALSE),"Merchant not found")</f>
        <v>food_delivery</v>
      </c>
      <c r="F212" s="3" t="str">
        <f>IFERROR(VLOOKUP($C212,merchants!$A$1:$D$41,4,FALSE),"Merchant not found")</f>
        <v>South</v>
      </c>
      <c r="G212" s="5">
        <v>46027.9861111111</v>
      </c>
      <c r="H212" s="1">
        <v>1499</v>
      </c>
      <c r="I212" s="1" t="s">
        <v>52</v>
      </c>
      <c r="J212" s="1" t="s">
        <v>50</v>
      </c>
      <c r="K212" s="1">
        <v>95</v>
      </c>
      <c r="L212" s="6">
        <f>IFERROR(HLOOKUP($I212,Reference!$B$1:$E$2,2,FALSE),0)</f>
        <v>0</v>
      </c>
      <c r="M212" s="7">
        <f t="shared" si="0"/>
        <v>46027</v>
      </c>
      <c r="N212" s="3" t="str">
        <f t="shared" si="1"/>
        <v>Regular</v>
      </c>
    </row>
    <row r="213" customHeight="1" spans="1:14">
      <c r="A213" s="1" t="s">
        <v>266</v>
      </c>
      <c r="B213" s="1">
        <v>215</v>
      </c>
      <c r="C213" s="1">
        <v>30</v>
      </c>
      <c r="D213" s="3" t="str">
        <f>IFERROR(VLOOKUP($C213,merchants!$A$1:$D$41,2,FALSE),"Merchant not found")</f>
        <v>Merchant_030</v>
      </c>
      <c r="E213" s="3" t="str">
        <f>IFERROR(VLOOKUP($C213,merchants!$A$1:$D$41,3,FALSE),"Merchant not found")</f>
        <v>travel</v>
      </c>
      <c r="F213" s="3" t="str">
        <f>IFERROR(VLOOKUP($C213,merchants!$A$1:$D$41,4,FALSE),"Merchant not found")</f>
        <v>West</v>
      </c>
      <c r="G213" s="5">
        <v>46039.2666666667</v>
      </c>
      <c r="H213" s="1">
        <v>49</v>
      </c>
      <c r="I213" s="1" t="s">
        <v>52</v>
      </c>
      <c r="J213" s="1" t="s">
        <v>50</v>
      </c>
      <c r="K213" s="1">
        <v>43</v>
      </c>
      <c r="L213" s="6">
        <f>IFERROR(HLOOKUP($I213,Reference!$B$1:$E$2,2,FALSE),0)</f>
        <v>0</v>
      </c>
      <c r="M213" s="7">
        <f t="shared" si="0"/>
        <v>46039</v>
      </c>
      <c r="N213" s="3" t="str">
        <f t="shared" si="1"/>
        <v>Regular</v>
      </c>
    </row>
    <row r="214" customHeight="1" spans="1:14">
      <c r="A214" s="1" t="s">
        <v>267</v>
      </c>
      <c r="B214" s="1">
        <v>167</v>
      </c>
      <c r="C214" s="1">
        <v>37</v>
      </c>
      <c r="D214" s="3" t="str">
        <f>IFERROR(VLOOKUP($C214,merchants!$A$1:$D$41,2,FALSE),"Merchant not found")</f>
        <v>Merchant_037</v>
      </c>
      <c r="E214" s="3" t="str">
        <f>IFERROR(VLOOKUP($C214,merchants!$A$1:$D$41,3,FALSE),"Merchant not found")</f>
        <v>entertainment</v>
      </c>
      <c r="F214" s="3" t="str">
        <f>IFERROR(VLOOKUP($C214,merchants!$A$1:$D$41,4,FALSE),"Merchant not found")</f>
        <v>South</v>
      </c>
      <c r="G214" s="5">
        <v>46028.4715277778</v>
      </c>
      <c r="H214" s="1">
        <v>99</v>
      </c>
      <c r="I214" s="1" t="s">
        <v>52</v>
      </c>
      <c r="J214" s="1" t="s">
        <v>50</v>
      </c>
      <c r="K214" s="1">
        <v>76</v>
      </c>
      <c r="L214" s="6">
        <f>IFERROR(HLOOKUP($I214,Reference!$B$1:$E$2,2,FALSE),0)</f>
        <v>0</v>
      </c>
      <c r="M214" s="7">
        <f t="shared" si="0"/>
        <v>46028</v>
      </c>
      <c r="N214" s="3" t="str">
        <f t="shared" si="1"/>
        <v>Regular</v>
      </c>
    </row>
    <row r="215" customHeight="1" spans="1:14">
      <c r="A215" s="1" t="s">
        <v>268</v>
      </c>
      <c r="B215" s="1">
        <v>81</v>
      </c>
      <c r="C215" s="1">
        <v>40</v>
      </c>
      <c r="D215" s="3" t="str">
        <f>IFERROR(VLOOKUP($C215,merchants!$A$1:$D$41,2,FALSE),"Merchant not found")</f>
        <v>Merchant_040</v>
      </c>
      <c r="E215" s="3" t="str">
        <f>IFERROR(VLOOKUP($C215,merchants!$A$1:$D$41,3,FALSE),"Merchant not found")</f>
        <v>entertainment</v>
      </c>
      <c r="F215" s="3" t="str">
        <f>IFERROR(VLOOKUP($C215,merchants!$A$1:$D$41,4,FALSE),"Merchant not found")</f>
        <v>South</v>
      </c>
      <c r="G215" s="5">
        <v>46025.0479166667</v>
      </c>
      <c r="H215" s="1">
        <v>49</v>
      </c>
      <c r="I215" s="1" t="s">
        <v>52</v>
      </c>
      <c r="J215" s="1" t="s">
        <v>50</v>
      </c>
      <c r="K215" s="1">
        <v>6</v>
      </c>
      <c r="L215" s="6">
        <f>IFERROR(HLOOKUP($I215,Reference!$B$1:$E$2,2,FALSE),0)</f>
        <v>0</v>
      </c>
      <c r="M215" s="7">
        <f t="shared" si="0"/>
        <v>46025</v>
      </c>
      <c r="N215" s="3" t="str">
        <f t="shared" si="1"/>
        <v>Regular</v>
      </c>
    </row>
    <row r="216" customHeight="1" spans="1:14">
      <c r="A216" s="1" t="s">
        <v>269</v>
      </c>
      <c r="B216" s="1">
        <v>227</v>
      </c>
      <c r="C216" s="1">
        <v>28</v>
      </c>
      <c r="D216" s="3" t="str">
        <f>IFERROR(VLOOKUP($C216,merchants!$A$1:$D$41,2,FALSE),"Merchant not found")</f>
        <v>Merchant_028</v>
      </c>
      <c r="E216" s="3" t="str">
        <f>IFERROR(VLOOKUP($C216,merchants!$A$1:$D$41,3,FALSE),"Merchant not found")</f>
        <v>ecommerce</v>
      </c>
      <c r="F216" s="3" t="str">
        <f>IFERROR(VLOOKUP($C216,merchants!$A$1:$D$41,4,FALSE),"Merchant not found")</f>
        <v>South</v>
      </c>
      <c r="G216" s="5">
        <v>46044.0951388889</v>
      </c>
      <c r="H216" s="1">
        <v>99</v>
      </c>
      <c r="I216" s="1" t="s">
        <v>52</v>
      </c>
      <c r="J216" s="1" t="s">
        <v>50</v>
      </c>
      <c r="K216" s="1">
        <v>62</v>
      </c>
      <c r="L216" s="6">
        <f>IFERROR(HLOOKUP($I216,Reference!$B$1:$E$2,2,FALSE),0)</f>
        <v>0</v>
      </c>
      <c r="M216" s="7">
        <f t="shared" si="0"/>
        <v>46044</v>
      </c>
      <c r="N216" s="3" t="str">
        <f t="shared" si="1"/>
        <v>Regular</v>
      </c>
    </row>
    <row r="217" customHeight="1" spans="1:14">
      <c r="A217" s="1" t="s">
        <v>270</v>
      </c>
      <c r="B217" s="1">
        <v>140</v>
      </c>
      <c r="C217" s="1">
        <v>14</v>
      </c>
      <c r="D217" s="3" t="str">
        <f>IFERROR(VLOOKUP($C217,merchants!$A$1:$D$41,2,FALSE),"Merchant not found")</f>
        <v>Merchant_014</v>
      </c>
      <c r="E217" s="3" t="str">
        <f>IFERROR(VLOOKUP($C217,merchants!$A$1:$D$41,3,FALSE),"Merchant not found")</f>
        <v>grocery</v>
      </c>
      <c r="F217" s="3" t="str">
        <f>IFERROR(VLOOKUP($C217,merchants!$A$1:$D$41,4,FALSE),"Merchant not found")</f>
        <v>East</v>
      </c>
      <c r="G217" s="5">
        <v>46042.6013888889</v>
      </c>
      <c r="H217" s="1">
        <v>299</v>
      </c>
      <c r="I217" s="1" t="s">
        <v>49</v>
      </c>
      <c r="J217" s="1" t="s">
        <v>50</v>
      </c>
      <c r="K217" s="1">
        <v>96</v>
      </c>
      <c r="L217" s="6">
        <f>IFERROR(HLOOKUP($I217,Reference!$B$1:$E$2,2,FALSE),0)</f>
        <v>0.015</v>
      </c>
      <c r="M217" s="7">
        <f t="shared" si="0"/>
        <v>46042</v>
      </c>
      <c r="N217" s="3" t="str">
        <f t="shared" si="1"/>
        <v>Regular</v>
      </c>
    </row>
    <row r="218" customHeight="1" spans="1:14">
      <c r="A218" s="1" t="s">
        <v>271</v>
      </c>
      <c r="B218" s="1">
        <v>221</v>
      </c>
      <c r="C218" s="1">
        <v>8</v>
      </c>
      <c r="D218" s="3" t="str">
        <f>IFERROR(VLOOKUP($C218,merchants!$A$1:$D$41,2,FALSE),"Merchant not found")</f>
        <v>Merchant_008</v>
      </c>
      <c r="E218" s="3" t="str">
        <f>IFERROR(VLOOKUP($C218,merchants!$A$1:$D$41,3,FALSE),"Merchant not found")</f>
        <v>food_delivery</v>
      </c>
      <c r="F218" s="3" t="str">
        <f>IFERROR(VLOOKUP($C218,merchants!$A$1:$D$41,4,FALSE),"Merchant not found")</f>
        <v>North</v>
      </c>
      <c r="G218" s="5">
        <v>46039.1402777778</v>
      </c>
      <c r="H218" s="1">
        <v>299</v>
      </c>
      <c r="I218" s="1" t="s">
        <v>52</v>
      </c>
      <c r="J218" s="1" t="s">
        <v>50</v>
      </c>
      <c r="K218" s="1">
        <v>36</v>
      </c>
      <c r="L218" s="6">
        <f>IFERROR(HLOOKUP($I218,Reference!$B$1:$E$2,2,FALSE),0)</f>
        <v>0</v>
      </c>
      <c r="M218" s="7">
        <f t="shared" si="0"/>
        <v>46039</v>
      </c>
      <c r="N218" s="3" t="str">
        <f t="shared" si="1"/>
        <v>Regular</v>
      </c>
    </row>
    <row r="219" customHeight="1" spans="1:14">
      <c r="A219" s="1" t="s">
        <v>272</v>
      </c>
      <c r="B219" s="1">
        <v>250</v>
      </c>
      <c r="C219" s="1">
        <v>34</v>
      </c>
      <c r="D219" s="3" t="str">
        <f>IFERROR(VLOOKUP($C219,merchants!$A$1:$D$41,2,FALSE),"Merchant not found")</f>
        <v>Merchant_034</v>
      </c>
      <c r="E219" s="3" t="str">
        <f>IFERROR(VLOOKUP($C219,merchants!$A$1:$D$41,3,FALSE),"Merchant not found")</f>
        <v>travel</v>
      </c>
      <c r="F219" s="3" t="str">
        <f>IFERROR(VLOOKUP($C219,merchants!$A$1:$D$41,4,FALSE),"Merchant not found")</f>
        <v>South</v>
      </c>
      <c r="G219" s="5">
        <v>46044.9006944444</v>
      </c>
      <c r="H219" s="1">
        <v>299</v>
      </c>
      <c r="I219" s="1" t="s">
        <v>49</v>
      </c>
      <c r="J219" s="1" t="s">
        <v>50</v>
      </c>
      <c r="K219" s="1">
        <v>85</v>
      </c>
      <c r="L219" s="6">
        <f>IFERROR(HLOOKUP($I219,Reference!$B$1:$E$2,2,FALSE),0)</f>
        <v>0.015</v>
      </c>
      <c r="M219" s="7">
        <f t="shared" si="0"/>
        <v>46044</v>
      </c>
      <c r="N219" s="3" t="str">
        <f t="shared" si="1"/>
        <v>Regular</v>
      </c>
    </row>
    <row r="220" customHeight="1" spans="1:14">
      <c r="A220" s="1" t="s">
        <v>273</v>
      </c>
      <c r="B220" s="1">
        <v>203</v>
      </c>
      <c r="C220" s="1">
        <v>39</v>
      </c>
      <c r="D220" s="3" t="str">
        <f>IFERROR(VLOOKUP($C220,merchants!$A$1:$D$41,2,FALSE),"Merchant not found")</f>
        <v>Merchant_039</v>
      </c>
      <c r="E220" s="3" t="str">
        <f>IFERROR(VLOOKUP($C220,merchants!$A$1:$D$41,3,FALSE),"Merchant not found")</f>
        <v>entertainment</v>
      </c>
      <c r="F220" s="3" t="str">
        <f>IFERROR(VLOOKUP($C220,merchants!$A$1:$D$41,4,FALSE),"Merchant not found")</f>
        <v>North</v>
      </c>
      <c r="G220" s="5">
        <v>46032.0513888889</v>
      </c>
      <c r="H220" s="1">
        <v>49</v>
      </c>
      <c r="I220" s="1" t="s">
        <v>52</v>
      </c>
      <c r="J220" s="1" t="s">
        <v>50</v>
      </c>
      <c r="K220" s="1">
        <v>7</v>
      </c>
      <c r="L220" s="6">
        <f>IFERROR(HLOOKUP($I220,Reference!$B$1:$E$2,2,FALSE),0)</f>
        <v>0</v>
      </c>
      <c r="M220" s="7">
        <f t="shared" si="0"/>
        <v>46032</v>
      </c>
      <c r="N220" s="3" t="str">
        <f t="shared" si="1"/>
        <v>Regular</v>
      </c>
    </row>
    <row r="221" customHeight="1" spans="1:14">
      <c r="A221" s="1" t="s">
        <v>274</v>
      </c>
      <c r="B221" s="1">
        <v>109</v>
      </c>
      <c r="C221" s="1">
        <v>9</v>
      </c>
      <c r="D221" s="3" t="str">
        <f>IFERROR(VLOOKUP($C221,merchants!$A$1:$D$41,2,FALSE),"Merchant not found")</f>
        <v>Merchant_009</v>
      </c>
      <c r="E221" s="3" t="str">
        <f>IFERROR(VLOOKUP($C221,merchants!$A$1:$D$41,3,FALSE),"Merchant not found")</f>
        <v>ecommerce</v>
      </c>
      <c r="F221" s="3" t="str">
        <f>IFERROR(VLOOKUP($C221,merchants!$A$1:$D$41,4,FALSE),"Merchant not found")</f>
        <v>North</v>
      </c>
      <c r="G221" s="5">
        <v>46023.2631944444</v>
      </c>
      <c r="H221" s="1">
        <v>499</v>
      </c>
      <c r="I221" s="1" t="s">
        <v>49</v>
      </c>
      <c r="J221" s="1" t="s">
        <v>50</v>
      </c>
      <c r="K221" s="1">
        <v>97</v>
      </c>
      <c r="L221" s="6">
        <f>IFERROR(HLOOKUP($I221,Reference!$B$1:$E$2,2,FALSE),0)</f>
        <v>0.015</v>
      </c>
      <c r="M221" s="7">
        <f t="shared" si="0"/>
        <v>46023</v>
      </c>
      <c r="N221" s="3" t="str">
        <f t="shared" si="1"/>
        <v>Regular</v>
      </c>
    </row>
    <row r="222" customHeight="1" spans="1:14">
      <c r="A222" s="1" t="s">
        <v>275</v>
      </c>
      <c r="B222" s="1">
        <v>62</v>
      </c>
      <c r="C222" s="1">
        <v>1</v>
      </c>
      <c r="D222" s="3" t="str">
        <f>IFERROR(VLOOKUP($C222,merchants!$A$1:$D$41,2,FALSE),"Merchant not found")</f>
        <v>Merchant_001</v>
      </c>
      <c r="E222" s="3" t="str">
        <f>IFERROR(VLOOKUP($C222,merchants!$A$1:$D$41,3,FALSE),"Merchant not found")</f>
        <v>ecommerce</v>
      </c>
      <c r="F222" s="3" t="str">
        <f>IFERROR(VLOOKUP($C222,merchants!$A$1:$D$41,4,FALSE),"Merchant not found")</f>
        <v>South</v>
      </c>
      <c r="G222" s="5">
        <v>46031.3888888889</v>
      </c>
      <c r="H222" s="1">
        <v>4999</v>
      </c>
      <c r="I222" s="1" t="s">
        <v>49</v>
      </c>
      <c r="J222" s="1" t="s">
        <v>50</v>
      </c>
      <c r="K222" s="1">
        <v>63</v>
      </c>
      <c r="L222" s="6">
        <f>IFERROR(HLOOKUP($I222,Reference!$B$1:$E$2,2,FALSE),0)</f>
        <v>0.015</v>
      </c>
      <c r="M222" s="7">
        <f t="shared" si="0"/>
        <v>46031</v>
      </c>
      <c r="N222" s="3" t="str">
        <f t="shared" si="1"/>
        <v>High-Value Merchant Day</v>
      </c>
    </row>
    <row r="223" customHeight="1" spans="1:14">
      <c r="A223" s="1" t="s">
        <v>276</v>
      </c>
      <c r="B223" s="1">
        <v>67</v>
      </c>
      <c r="C223" s="1">
        <v>25</v>
      </c>
      <c r="D223" s="3" t="str">
        <f>IFERROR(VLOOKUP($C223,merchants!$A$1:$D$41,2,FALSE),"Merchant not found")</f>
        <v>Merchant_025</v>
      </c>
      <c r="E223" s="3" t="str">
        <f>IFERROR(VLOOKUP($C223,merchants!$A$1:$D$41,3,FALSE),"Merchant not found")</f>
        <v>travel</v>
      </c>
      <c r="F223" s="3" t="str">
        <f>IFERROR(VLOOKUP($C223,merchants!$A$1:$D$41,4,FALSE),"Merchant not found")</f>
        <v>South</v>
      </c>
      <c r="G223" s="5">
        <v>46046.5493055556</v>
      </c>
      <c r="H223" s="1">
        <v>49</v>
      </c>
      <c r="I223" s="1" t="s">
        <v>52</v>
      </c>
      <c r="J223" s="1" t="s">
        <v>50</v>
      </c>
      <c r="K223" s="1">
        <v>68</v>
      </c>
      <c r="L223" s="6">
        <f>IFERROR(HLOOKUP($I223,Reference!$B$1:$E$2,2,FALSE),0)</f>
        <v>0</v>
      </c>
      <c r="M223" s="7">
        <f t="shared" si="0"/>
        <v>46046</v>
      </c>
      <c r="N223" s="3" t="str">
        <f t="shared" si="1"/>
        <v>Regular</v>
      </c>
    </row>
    <row r="224" customHeight="1" spans="1:14">
      <c r="A224" s="1" t="s">
        <v>277</v>
      </c>
      <c r="B224" s="1">
        <v>287</v>
      </c>
      <c r="C224" s="1">
        <v>23</v>
      </c>
      <c r="D224" s="3" t="str">
        <f>IFERROR(VLOOKUP($C224,merchants!$A$1:$D$41,2,FALSE),"Merchant not found")</f>
        <v>Merchant_023</v>
      </c>
      <c r="E224" s="3" t="str">
        <f>IFERROR(VLOOKUP($C224,merchants!$A$1:$D$41,3,FALSE),"Merchant not found")</f>
        <v>travel</v>
      </c>
      <c r="F224" s="3" t="str">
        <f>IFERROR(VLOOKUP($C224,merchants!$A$1:$D$41,4,FALSE),"Merchant not found")</f>
        <v>North</v>
      </c>
      <c r="G224" s="5">
        <v>46045.3138888889</v>
      </c>
      <c r="H224" s="1">
        <v>49</v>
      </c>
      <c r="I224" s="1" t="s">
        <v>52</v>
      </c>
      <c r="J224" s="1" t="s">
        <v>50</v>
      </c>
      <c r="K224" s="1">
        <v>9</v>
      </c>
      <c r="L224" s="6">
        <f>IFERROR(HLOOKUP($I224,Reference!$B$1:$E$2,2,FALSE),0)</f>
        <v>0</v>
      </c>
      <c r="M224" s="7">
        <f t="shared" si="0"/>
        <v>46045</v>
      </c>
      <c r="N224" s="3" t="str">
        <f t="shared" si="1"/>
        <v>Regular</v>
      </c>
    </row>
    <row r="225" customHeight="1" spans="1:14">
      <c r="A225" s="1" t="s">
        <v>278</v>
      </c>
      <c r="B225" s="1">
        <v>224</v>
      </c>
      <c r="C225" s="1">
        <v>2</v>
      </c>
      <c r="D225" s="3" t="str">
        <f>IFERROR(VLOOKUP($C225,merchants!$A$1:$D$41,2,FALSE),"Merchant not found")</f>
        <v>Merchant_002</v>
      </c>
      <c r="E225" s="3" t="str">
        <f>IFERROR(VLOOKUP($C225,merchants!$A$1:$D$41,3,FALSE),"Merchant not found")</f>
        <v>grocery</v>
      </c>
      <c r="F225" s="3" t="str">
        <f>IFERROR(VLOOKUP($C225,merchants!$A$1:$D$41,4,FALSE),"Merchant not found")</f>
        <v>West</v>
      </c>
      <c r="G225" s="5">
        <v>46035.9597222222</v>
      </c>
      <c r="H225" s="1">
        <v>49</v>
      </c>
      <c r="I225" s="1" t="s">
        <v>64</v>
      </c>
      <c r="J225" s="1" t="s">
        <v>50</v>
      </c>
      <c r="K225" s="1">
        <v>58</v>
      </c>
      <c r="L225" s="6">
        <f>IFERROR(HLOOKUP($I225,Reference!$B$1:$E$2,2,FALSE),0)</f>
        <v>0.02</v>
      </c>
      <c r="M225" s="7">
        <f t="shared" si="0"/>
        <v>46035</v>
      </c>
      <c r="N225" s="3" t="str">
        <f t="shared" si="1"/>
        <v>Regular</v>
      </c>
    </row>
    <row r="226" customHeight="1" spans="1:14">
      <c r="A226" s="1" t="s">
        <v>279</v>
      </c>
      <c r="B226" s="1">
        <v>161</v>
      </c>
      <c r="C226" s="1">
        <v>37</v>
      </c>
      <c r="D226" s="3" t="str">
        <f>IFERROR(VLOOKUP($C226,merchants!$A$1:$D$41,2,FALSE),"Merchant not found")</f>
        <v>Merchant_037</v>
      </c>
      <c r="E226" s="3" t="str">
        <f>IFERROR(VLOOKUP($C226,merchants!$A$1:$D$41,3,FALSE),"Merchant not found")</f>
        <v>entertainment</v>
      </c>
      <c r="F226" s="3" t="str">
        <f>IFERROR(VLOOKUP($C226,merchants!$A$1:$D$41,4,FALSE),"Merchant not found")</f>
        <v>South</v>
      </c>
      <c r="G226" s="5">
        <v>46052.1215277778</v>
      </c>
      <c r="H226" s="1">
        <v>299</v>
      </c>
      <c r="I226" s="1" t="s">
        <v>52</v>
      </c>
      <c r="J226" s="1" t="s">
        <v>50</v>
      </c>
      <c r="K226" s="1">
        <v>54</v>
      </c>
      <c r="L226" s="6">
        <f>IFERROR(HLOOKUP($I226,Reference!$B$1:$E$2,2,FALSE),0)</f>
        <v>0</v>
      </c>
      <c r="M226" s="7">
        <f t="shared" si="0"/>
        <v>46052</v>
      </c>
      <c r="N226" s="3" t="str">
        <f t="shared" si="1"/>
        <v>Regular</v>
      </c>
    </row>
    <row r="227" customHeight="1" spans="1:14">
      <c r="A227" s="1" t="s">
        <v>280</v>
      </c>
      <c r="B227" s="1">
        <v>328</v>
      </c>
      <c r="C227" s="1">
        <v>27</v>
      </c>
      <c r="D227" s="3" t="str">
        <f>IFERROR(VLOOKUP($C227,merchants!$A$1:$D$41,2,FALSE),"Merchant not found")</f>
        <v>Merchant_027</v>
      </c>
      <c r="E227" s="3" t="str">
        <f>IFERROR(VLOOKUP($C227,merchants!$A$1:$D$41,3,FALSE),"Merchant not found")</f>
        <v>ecommerce</v>
      </c>
      <c r="F227" s="3" t="str">
        <f>IFERROR(VLOOKUP($C227,merchants!$A$1:$D$41,4,FALSE),"Merchant not found")</f>
        <v>North</v>
      </c>
      <c r="G227" s="5">
        <v>46041.53125</v>
      </c>
      <c r="H227" s="1">
        <v>49</v>
      </c>
      <c r="I227" s="1" t="s">
        <v>52</v>
      </c>
      <c r="J227" s="1" t="s">
        <v>78</v>
      </c>
      <c r="K227" s="1">
        <v>37</v>
      </c>
      <c r="L227" s="6">
        <f>IFERROR(HLOOKUP($I227,Reference!$B$1:$E$2,2,FALSE),0)</f>
        <v>0</v>
      </c>
      <c r="M227" s="7">
        <f t="shared" si="0"/>
        <v>46041</v>
      </c>
      <c r="N227" s="3" t="str">
        <f t="shared" si="1"/>
        <v>Regular</v>
      </c>
    </row>
    <row r="228" customHeight="1" spans="1:14">
      <c r="A228" s="1" t="s">
        <v>281</v>
      </c>
      <c r="B228" s="1">
        <v>167</v>
      </c>
      <c r="C228" s="1">
        <v>11</v>
      </c>
      <c r="D228" s="3" t="str">
        <f>IFERROR(VLOOKUP($C228,merchants!$A$1:$D$41,2,FALSE),"Merchant not found")</f>
        <v>Merchant_011</v>
      </c>
      <c r="E228" s="3" t="str">
        <f>IFERROR(VLOOKUP($C228,merchants!$A$1:$D$41,3,FALSE),"Merchant not found")</f>
        <v>ecommerce</v>
      </c>
      <c r="F228" s="3" t="str">
        <f>IFERROR(VLOOKUP($C228,merchants!$A$1:$D$41,4,FALSE),"Merchant not found")</f>
        <v>North</v>
      </c>
      <c r="G228" s="5">
        <v>46026.5006944444</v>
      </c>
      <c r="H228" s="1">
        <v>1499</v>
      </c>
      <c r="I228" s="1" t="s">
        <v>64</v>
      </c>
      <c r="J228" s="1" t="s">
        <v>65</v>
      </c>
      <c r="K228" s="1">
        <v>79</v>
      </c>
      <c r="L228" s="6">
        <f>IFERROR(HLOOKUP($I228,Reference!$B$1:$E$2,2,FALSE),0)</f>
        <v>0.02</v>
      </c>
      <c r="M228" s="7">
        <f t="shared" si="0"/>
        <v>46026</v>
      </c>
      <c r="N228" s="3" t="str">
        <f t="shared" si="1"/>
        <v>Regular</v>
      </c>
    </row>
    <row r="229" customHeight="1" spans="1:14">
      <c r="A229" s="1" t="s">
        <v>282</v>
      </c>
      <c r="B229" s="1">
        <v>186</v>
      </c>
      <c r="C229" s="1">
        <v>6</v>
      </c>
      <c r="D229" s="3" t="str">
        <f>IFERROR(VLOOKUP($C229,merchants!$A$1:$D$41,2,FALSE),"Merchant not found")</f>
        <v>Merchant_006</v>
      </c>
      <c r="E229" s="3" t="str">
        <f>IFERROR(VLOOKUP($C229,merchants!$A$1:$D$41,3,FALSE),"Merchant not found")</f>
        <v>food_delivery</v>
      </c>
      <c r="F229" s="3" t="str">
        <f>IFERROR(VLOOKUP($C229,merchants!$A$1:$D$41,4,FALSE),"Merchant not found")</f>
        <v>South</v>
      </c>
      <c r="G229" s="5">
        <v>46037.9569444444</v>
      </c>
      <c r="H229" s="1">
        <v>49</v>
      </c>
      <c r="I229" s="1" t="s">
        <v>49</v>
      </c>
      <c r="J229" s="1" t="s">
        <v>50</v>
      </c>
      <c r="K229" s="1">
        <v>55</v>
      </c>
      <c r="L229" s="6">
        <f>IFERROR(HLOOKUP($I229,Reference!$B$1:$E$2,2,FALSE),0)</f>
        <v>0.015</v>
      </c>
      <c r="M229" s="7">
        <f t="shared" si="0"/>
        <v>46037</v>
      </c>
      <c r="N229" s="3" t="str">
        <f t="shared" si="1"/>
        <v>Regular</v>
      </c>
    </row>
    <row r="230" customHeight="1" spans="1:14">
      <c r="A230" s="1" t="s">
        <v>283</v>
      </c>
      <c r="B230" s="1">
        <v>224</v>
      </c>
      <c r="C230" s="1">
        <v>38</v>
      </c>
      <c r="D230" s="3" t="str">
        <f>IFERROR(VLOOKUP($C230,merchants!$A$1:$D$41,2,FALSE),"Merchant not found")</f>
        <v>Merchant_038</v>
      </c>
      <c r="E230" s="3" t="str">
        <f>IFERROR(VLOOKUP($C230,merchants!$A$1:$D$41,3,FALSE),"Merchant not found")</f>
        <v>grocery</v>
      </c>
      <c r="F230" s="3" t="str">
        <f>IFERROR(VLOOKUP($C230,merchants!$A$1:$D$41,4,FALSE),"Merchant not found")</f>
        <v>East</v>
      </c>
      <c r="G230" s="5">
        <v>46050.1354166667</v>
      </c>
      <c r="H230" s="1">
        <v>299</v>
      </c>
      <c r="I230" s="1" t="s">
        <v>49</v>
      </c>
      <c r="J230" s="1" t="s">
        <v>65</v>
      </c>
      <c r="K230" s="1">
        <v>51</v>
      </c>
      <c r="L230" s="6">
        <f>IFERROR(HLOOKUP($I230,Reference!$B$1:$E$2,2,FALSE),0)</f>
        <v>0.015</v>
      </c>
      <c r="M230" s="7">
        <f t="shared" si="0"/>
        <v>46050</v>
      </c>
      <c r="N230" s="3" t="str">
        <f t="shared" si="1"/>
        <v>Regular</v>
      </c>
    </row>
    <row r="231" customHeight="1" spans="1:14">
      <c r="A231" s="1" t="s">
        <v>284</v>
      </c>
      <c r="B231" s="1">
        <v>159</v>
      </c>
      <c r="C231" s="1">
        <v>22</v>
      </c>
      <c r="D231" s="3" t="str">
        <f>IFERROR(VLOOKUP($C231,merchants!$A$1:$D$41,2,FALSE),"Merchant not found")</f>
        <v>Merchant_022</v>
      </c>
      <c r="E231" s="3" t="str">
        <f>IFERROR(VLOOKUP($C231,merchants!$A$1:$D$41,3,FALSE),"Merchant not found")</f>
        <v>travel</v>
      </c>
      <c r="F231" s="3" t="str">
        <f>IFERROR(VLOOKUP($C231,merchants!$A$1:$D$41,4,FALSE),"Merchant not found")</f>
        <v>South</v>
      </c>
      <c r="G231" s="5">
        <v>46039.1006944444</v>
      </c>
      <c r="H231" s="1">
        <v>799</v>
      </c>
      <c r="I231" s="1" t="s">
        <v>52</v>
      </c>
      <c r="J231" s="1" t="s">
        <v>50</v>
      </c>
      <c r="K231" s="1">
        <v>28</v>
      </c>
      <c r="L231" s="6">
        <f>IFERROR(HLOOKUP($I231,Reference!$B$1:$E$2,2,FALSE),0)</f>
        <v>0</v>
      </c>
      <c r="M231" s="7">
        <f t="shared" si="0"/>
        <v>46039</v>
      </c>
      <c r="N231" s="3" t="str">
        <f t="shared" si="1"/>
        <v>Regular</v>
      </c>
    </row>
    <row r="232" customHeight="1" spans="1:14">
      <c r="A232" s="1" t="s">
        <v>285</v>
      </c>
      <c r="B232" s="1">
        <v>262</v>
      </c>
      <c r="C232" s="1">
        <v>8</v>
      </c>
      <c r="D232" s="3" t="str">
        <f>IFERROR(VLOOKUP($C232,merchants!$A$1:$D$41,2,FALSE),"Merchant not found")</f>
        <v>Merchant_008</v>
      </c>
      <c r="E232" s="3" t="str">
        <f>IFERROR(VLOOKUP($C232,merchants!$A$1:$D$41,3,FALSE),"Merchant not found")</f>
        <v>food_delivery</v>
      </c>
      <c r="F232" s="3" t="str">
        <f>IFERROR(VLOOKUP($C232,merchants!$A$1:$D$41,4,FALSE),"Merchant not found")</f>
        <v>North</v>
      </c>
      <c r="G232" s="5">
        <v>46033.2111111111</v>
      </c>
      <c r="H232" s="1">
        <v>149</v>
      </c>
      <c r="I232" s="1" t="s">
        <v>52</v>
      </c>
      <c r="J232" s="1" t="s">
        <v>50</v>
      </c>
      <c r="K232" s="1">
        <v>67</v>
      </c>
      <c r="L232" s="6">
        <f>IFERROR(HLOOKUP($I232,Reference!$B$1:$E$2,2,FALSE),0)</f>
        <v>0</v>
      </c>
      <c r="M232" s="7">
        <f t="shared" si="0"/>
        <v>46033</v>
      </c>
      <c r="N232" s="3" t="str">
        <f t="shared" si="1"/>
        <v>Regular</v>
      </c>
    </row>
    <row r="233" customHeight="1" spans="1:14">
      <c r="A233" s="1" t="s">
        <v>286</v>
      </c>
      <c r="B233" s="1">
        <v>179</v>
      </c>
      <c r="C233" s="1">
        <v>23</v>
      </c>
      <c r="D233" s="3" t="str">
        <f>IFERROR(VLOOKUP($C233,merchants!$A$1:$D$41,2,FALSE),"Merchant not found")</f>
        <v>Merchant_023</v>
      </c>
      <c r="E233" s="3" t="str">
        <f>IFERROR(VLOOKUP($C233,merchants!$A$1:$D$41,3,FALSE),"Merchant not found")</f>
        <v>travel</v>
      </c>
      <c r="F233" s="3" t="str">
        <f>IFERROR(VLOOKUP($C233,merchants!$A$1:$D$41,4,FALSE),"Merchant not found")</f>
        <v>North</v>
      </c>
      <c r="G233" s="5">
        <v>46039.2895833333</v>
      </c>
      <c r="H233" s="1">
        <v>49</v>
      </c>
      <c r="I233" s="1" t="s">
        <v>49</v>
      </c>
      <c r="J233" s="1" t="s">
        <v>50</v>
      </c>
      <c r="K233" s="1">
        <v>93</v>
      </c>
      <c r="L233" s="6">
        <f>IFERROR(HLOOKUP($I233,Reference!$B$1:$E$2,2,FALSE),0)</f>
        <v>0.015</v>
      </c>
      <c r="M233" s="7">
        <f t="shared" si="0"/>
        <v>46039</v>
      </c>
      <c r="N233" s="3" t="str">
        <f t="shared" si="1"/>
        <v>Regular</v>
      </c>
    </row>
    <row r="234" customHeight="1" spans="1:14">
      <c r="A234" s="1" t="s">
        <v>287</v>
      </c>
      <c r="B234" s="1">
        <v>76</v>
      </c>
      <c r="C234" s="1">
        <v>16</v>
      </c>
      <c r="D234" s="3" t="str">
        <f>IFERROR(VLOOKUP($C234,merchants!$A$1:$D$41,2,FALSE),"Merchant not found")</f>
        <v>Merchant_016</v>
      </c>
      <c r="E234" s="3" t="str">
        <f>IFERROR(VLOOKUP($C234,merchants!$A$1:$D$41,3,FALSE),"Merchant not found")</f>
        <v>bill_payment</v>
      </c>
      <c r="F234" s="3" t="str">
        <f>IFERROR(VLOOKUP($C234,merchants!$A$1:$D$41,4,FALSE),"Merchant not found")</f>
        <v>West</v>
      </c>
      <c r="G234" s="5">
        <v>46049.8694444444</v>
      </c>
      <c r="H234" s="1">
        <v>299</v>
      </c>
      <c r="I234" s="1" t="s">
        <v>52</v>
      </c>
      <c r="J234" s="1" t="s">
        <v>50</v>
      </c>
      <c r="K234" s="1">
        <v>13</v>
      </c>
      <c r="L234" s="6">
        <f>IFERROR(HLOOKUP($I234,Reference!$B$1:$E$2,2,FALSE),0)</f>
        <v>0</v>
      </c>
      <c r="M234" s="7">
        <f t="shared" si="0"/>
        <v>46049</v>
      </c>
      <c r="N234" s="3" t="str">
        <f t="shared" si="1"/>
        <v>Regular</v>
      </c>
    </row>
    <row r="235" customHeight="1" spans="1:14">
      <c r="A235" s="1" t="s">
        <v>288</v>
      </c>
      <c r="B235" s="1">
        <v>89</v>
      </c>
      <c r="C235" s="1">
        <v>39</v>
      </c>
      <c r="D235" s="3" t="str">
        <f>IFERROR(VLOOKUP($C235,merchants!$A$1:$D$41,2,FALSE),"Merchant not found")</f>
        <v>Merchant_039</v>
      </c>
      <c r="E235" s="3" t="str">
        <f>IFERROR(VLOOKUP($C235,merchants!$A$1:$D$41,3,FALSE),"Merchant not found")</f>
        <v>entertainment</v>
      </c>
      <c r="F235" s="3" t="str">
        <f>IFERROR(VLOOKUP($C235,merchants!$A$1:$D$41,4,FALSE),"Merchant not found")</f>
        <v>North</v>
      </c>
      <c r="G235" s="5">
        <v>46027.3416666667</v>
      </c>
      <c r="H235" s="1">
        <v>299</v>
      </c>
      <c r="I235" s="1" t="s">
        <v>52</v>
      </c>
      <c r="J235" s="1" t="s">
        <v>50</v>
      </c>
      <c r="K235" s="1">
        <v>19</v>
      </c>
      <c r="L235" s="6">
        <f>IFERROR(HLOOKUP($I235,Reference!$B$1:$E$2,2,FALSE),0)</f>
        <v>0</v>
      </c>
      <c r="M235" s="7">
        <f t="shared" si="0"/>
        <v>46027</v>
      </c>
      <c r="N235" s="3" t="str">
        <f t="shared" si="1"/>
        <v>Regular</v>
      </c>
    </row>
    <row r="236" customHeight="1" spans="1:14">
      <c r="A236" s="1" t="s">
        <v>289</v>
      </c>
      <c r="B236" s="1">
        <v>91</v>
      </c>
      <c r="C236" s="1">
        <v>32</v>
      </c>
      <c r="D236" s="3" t="str">
        <f>IFERROR(VLOOKUP($C236,merchants!$A$1:$D$41,2,FALSE),"Merchant not found")</f>
        <v>Merchant_032</v>
      </c>
      <c r="E236" s="3" t="str">
        <f>IFERROR(VLOOKUP($C236,merchants!$A$1:$D$41,3,FALSE),"Merchant not found")</f>
        <v>food_delivery</v>
      </c>
      <c r="F236" s="3" t="str">
        <f>IFERROR(VLOOKUP($C236,merchants!$A$1:$D$41,4,FALSE),"Merchant not found")</f>
        <v>West</v>
      </c>
      <c r="G236" s="5">
        <v>46047.8361111111</v>
      </c>
      <c r="H236" s="1">
        <v>49</v>
      </c>
      <c r="I236" s="1" t="s">
        <v>52</v>
      </c>
      <c r="J236" s="1" t="s">
        <v>50</v>
      </c>
      <c r="K236" s="1">
        <v>59</v>
      </c>
      <c r="L236" s="6">
        <f>IFERROR(HLOOKUP($I236,Reference!$B$1:$E$2,2,FALSE),0)</f>
        <v>0</v>
      </c>
      <c r="M236" s="7">
        <f t="shared" si="0"/>
        <v>46047</v>
      </c>
      <c r="N236" s="3" t="str">
        <f t="shared" si="1"/>
        <v>Regular</v>
      </c>
    </row>
    <row r="237" customHeight="1" spans="1:14">
      <c r="A237" s="1" t="s">
        <v>290</v>
      </c>
      <c r="B237" s="1">
        <v>297</v>
      </c>
      <c r="C237" s="1">
        <v>29</v>
      </c>
      <c r="D237" s="3" t="str">
        <f>IFERROR(VLOOKUP($C237,merchants!$A$1:$D$41,2,FALSE),"Merchant not found")</f>
        <v>Merchant_029</v>
      </c>
      <c r="E237" s="3" t="str">
        <f>IFERROR(VLOOKUP($C237,merchants!$A$1:$D$41,3,FALSE),"Merchant not found")</f>
        <v>ecommerce</v>
      </c>
      <c r="F237" s="3" t="str">
        <f>IFERROR(VLOOKUP($C237,merchants!$A$1:$D$41,4,FALSE),"Merchant not found")</f>
        <v>North</v>
      </c>
      <c r="G237" s="5">
        <v>46047.7833333333</v>
      </c>
      <c r="H237" s="1">
        <v>99</v>
      </c>
      <c r="I237" s="1" t="s">
        <v>64</v>
      </c>
      <c r="J237" s="1" t="s">
        <v>78</v>
      </c>
      <c r="K237" s="1">
        <v>87</v>
      </c>
      <c r="L237" s="6">
        <f>IFERROR(HLOOKUP($I237,Reference!$B$1:$E$2,2,FALSE),0)</f>
        <v>0.02</v>
      </c>
      <c r="M237" s="7">
        <f t="shared" si="0"/>
        <v>46047</v>
      </c>
      <c r="N237" s="3" t="str">
        <f t="shared" si="1"/>
        <v>Regular</v>
      </c>
    </row>
    <row r="238" customHeight="1" spans="1:14">
      <c r="A238" s="1" t="s">
        <v>291</v>
      </c>
      <c r="B238" s="1">
        <v>326</v>
      </c>
      <c r="C238" s="1">
        <v>40</v>
      </c>
      <c r="D238" s="3" t="str">
        <f>IFERROR(VLOOKUP($C238,merchants!$A$1:$D$41,2,FALSE),"Merchant not found")</f>
        <v>Merchant_040</v>
      </c>
      <c r="E238" s="3" t="str">
        <f>IFERROR(VLOOKUP($C238,merchants!$A$1:$D$41,3,FALSE),"Merchant not found")</f>
        <v>entertainment</v>
      </c>
      <c r="F238" s="3" t="str">
        <f>IFERROR(VLOOKUP($C238,merchants!$A$1:$D$41,4,FALSE),"Merchant not found")</f>
        <v>South</v>
      </c>
      <c r="G238" s="5">
        <v>46052.7784722222</v>
      </c>
      <c r="H238" s="1">
        <v>499</v>
      </c>
      <c r="I238" s="1" t="s">
        <v>64</v>
      </c>
      <c r="J238" s="1" t="s">
        <v>50</v>
      </c>
      <c r="K238" s="1">
        <v>41</v>
      </c>
      <c r="L238" s="6">
        <f>IFERROR(HLOOKUP($I238,Reference!$B$1:$E$2,2,FALSE),0)</f>
        <v>0.02</v>
      </c>
      <c r="M238" s="7">
        <f t="shared" si="0"/>
        <v>46052</v>
      </c>
      <c r="N238" s="3" t="str">
        <f t="shared" si="1"/>
        <v>Regular</v>
      </c>
    </row>
    <row r="239" customHeight="1" spans="1:14">
      <c r="A239" s="1" t="s">
        <v>292</v>
      </c>
      <c r="B239" s="1">
        <v>78</v>
      </c>
      <c r="C239" s="1">
        <v>29</v>
      </c>
      <c r="D239" s="3" t="str">
        <f>IFERROR(VLOOKUP($C239,merchants!$A$1:$D$41,2,FALSE),"Merchant not found")</f>
        <v>Merchant_029</v>
      </c>
      <c r="E239" s="3" t="str">
        <f>IFERROR(VLOOKUP($C239,merchants!$A$1:$D$41,3,FALSE),"Merchant not found")</f>
        <v>ecommerce</v>
      </c>
      <c r="F239" s="3" t="str">
        <f>IFERROR(VLOOKUP($C239,merchants!$A$1:$D$41,4,FALSE),"Merchant not found")</f>
        <v>North</v>
      </c>
      <c r="G239" s="5">
        <v>46050.8472222222</v>
      </c>
      <c r="H239" s="1">
        <v>149</v>
      </c>
      <c r="I239" s="1" t="s">
        <v>52</v>
      </c>
      <c r="J239" s="1" t="s">
        <v>50</v>
      </c>
      <c r="K239" s="1">
        <v>8</v>
      </c>
      <c r="L239" s="6">
        <f>IFERROR(HLOOKUP($I239,Reference!$B$1:$E$2,2,FALSE),0)</f>
        <v>0</v>
      </c>
      <c r="M239" s="7">
        <f t="shared" si="0"/>
        <v>46050</v>
      </c>
      <c r="N239" s="3" t="str">
        <f t="shared" si="1"/>
        <v>Regular</v>
      </c>
    </row>
    <row r="240" customHeight="1" spans="1:14">
      <c r="A240" s="1" t="s">
        <v>293</v>
      </c>
      <c r="B240" s="1">
        <v>156</v>
      </c>
      <c r="C240" s="1">
        <v>18</v>
      </c>
      <c r="D240" s="3" t="str">
        <f>IFERROR(VLOOKUP($C240,merchants!$A$1:$D$41,2,FALSE),"Merchant not found")</f>
        <v>Merchant_018</v>
      </c>
      <c r="E240" s="3" t="str">
        <f>IFERROR(VLOOKUP($C240,merchants!$A$1:$D$41,3,FALSE),"Merchant not found")</f>
        <v>grocery</v>
      </c>
      <c r="F240" s="3" t="str">
        <f>IFERROR(VLOOKUP($C240,merchants!$A$1:$D$41,4,FALSE),"Merchant not found")</f>
        <v>West</v>
      </c>
      <c r="G240" s="5">
        <v>46038.6111111111</v>
      </c>
      <c r="H240" s="1">
        <v>2999</v>
      </c>
      <c r="I240" s="1" t="s">
        <v>64</v>
      </c>
      <c r="J240" s="1" t="s">
        <v>50</v>
      </c>
      <c r="K240" s="1">
        <v>75</v>
      </c>
      <c r="L240" s="6">
        <f>IFERROR(HLOOKUP($I240,Reference!$B$1:$E$2,2,FALSE),0)</f>
        <v>0.02</v>
      </c>
      <c r="M240" s="7">
        <f t="shared" si="0"/>
        <v>46038</v>
      </c>
      <c r="N240" s="3" t="str">
        <f t="shared" si="1"/>
        <v>Regular</v>
      </c>
    </row>
    <row r="241" customHeight="1" spans="1:14">
      <c r="A241" s="1" t="s">
        <v>294</v>
      </c>
      <c r="B241" s="1">
        <v>38</v>
      </c>
      <c r="C241" s="1">
        <v>20</v>
      </c>
      <c r="D241" s="3" t="str">
        <f>IFERROR(VLOOKUP($C241,merchants!$A$1:$D$41,2,FALSE),"Merchant not found")</f>
        <v>Merchant_020</v>
      </c>
      <c r="E241" s="3" t="str">
        <f>IFERROR(VLOOKUP($C241,merchants!$A$1:$D$41,3,FALSE),"Merchant not found")</f>
        <v>food_delivery</v>
      </c>
      <c r="F241" s="3" t="str">
        <f>IFERROR(VLOOKUP($C241,merchants!$A$1:$D$41,4,FALSE),"Merchant not found")</f>
        <v>East</v>
      </c>
      <c r="G241" s="5">
        <v>46024.4805555556</v>
      </c>
      <c r="H241" s="1">
        <v>49</v>
      </c>
      <c r="I241" s="1" t="s">
        <v>49</v>
      </c>
      <c r="J241" s="1" t="s">
        <v>65</v>
      </c>
      <c r="K241" s="1">
        <v>59</v>
      </c>
      <c r="L241" s="6">
        <f>IFERROR(HLOOKUP($I241,Reference!$B$1:$E$2,2,FALSE),0)</f>
        <v>0.015</v>
      </c>
      <c r="M241" s="7">
        <f t="shared" si="0"/>
        <v>46024</v>
      </c>
      <c r="N241" s="3" t="str">
        <f t="shared" si="1"/>
        <v>Regular</v>
      </c>
    </row>
    <row r="242" customHeight="1" spans="1:14">
      <c r="A242" s="1" t="s">
        <v>295</v>
      </c>
      <c r="B242" s="1">
        <v>189</v>
      </c>
      <c r="C242" s="1">
        <v>19</v>
      </c>
      <c r="D242" s="3" t="str">
        <f>IFERROR(VLOOKUP($C242,merchants!$A$1:$D$41,2,FALSE),"Merchant not found")</f>
        <v>Merchant_019</v>
      </c>
      <c r="E242" s="3" t="str">
        <f>IFERROR(VLOOKUP($C242,merchants!$A$1:$D$41,3,FALSE),"Merchant not found")</f>
        <v>grocery</v>
      </c>
      <c r="F242" s="3" t="str">
        <f>IFERROR(VLOOKUP($C242,merchants!$A$1:$D$41,4,FALSE),"Merchant not found")</f>
        <v>North</v>
      </c>
      <c r="G242" s="5">
        <v>46037.04375</v>
      </c>
      <c r="H242" s="1">
        <v>99</v>
      </c>
      <c r="I242" s="1" t="s">
        <v>52</v>
      </c>
      <c r="J242" s="1" t="s">
        <v>65</v>
      </c>
      <c r="K242" s="1">
        <v>9</v>
      </c>
      <c r="L242" s="6">
        <f>IFERROR(HLOOKUP($I242,Reference!$B$1:$E$2,2,FALSE),0)</f>
        <v>0</v>
      </c>
      <c r="M242" s="7">
        <f t="shared" si="0"/>
        <v>46037</v>
      </c>
      <c r="N242" s="3" t="str">
        <f t="shared" si="1"/>
        <v>Regular</v>
      </c>
    </row>
    <row r="243" customHeight="1" spans="1:14">
      <c r="A243" s="1" t="s">
        <v>296</v>
      </c>
      <c r="B243" s="1">
        <v>305</v>
      </c>
      <c r="C243" s="1">
        <v>33</v>
      </c>
      <c r="D243" s="3" t="str">
        <f>IFERROR(VLOOKUP($C243,merchants!$A$1:$D$41,2,FALSE),"Merchant not found")</f>
        <v>Merchant_033</v>
      </c>
      <c r="E243" s="3" t="str">
        <f>IFERROR(VLOOKUP($C243,merchants!$A$1:$D$41,3,FALSE),"Merchant not found")</f>
        <v>bill_payment</v>
      </c>
      <c r="F243" s="3" t="str">
        <f>IFERROR(VLOOKUP($C243,merchants!$A$1:$D$41,4,FALSE),"Merchant not found")</f>
        <v>East</v>
      </c>
      <c r="G243" s="5">
        <v>46043.1104166667</v>
      </c>
      <c r="H243" s="1">
        <v>299</v>
      </c>
      <c r="I243" s="1" t="s">
        <v>64</v>
      </c>
      <c r="J243" s="1" t="s">
        <v>50</v>
      </c>
      <c r="K243" s="1">
        <v>49</v>
      </c>
      <c r="L243" s="6">
        <f>IFERROR(HLOOKUP($I243,Reference!$B$1:$E$2,2,FALSE),0)</f>
        <v>0.02</v>
      </c>
      <c r="M243" s="7">
        <f t="shared" si="0"/>
        <v>46043</v>
      </c>
      <c r="N243" s="3" t="str">
        <f t="shared" si="1"/>
        <v>Regular</v>
      </c>
    </row>
    <row r="244" customHeight="1" spans="1:14">
      <c r="A244" s="1" t="s">
        <v>297</v>
      </c>
      <c r="B244" s="1">
        <v>22</v>
      </c>
      <c r="C244" s="1">
        <v>29</v>
      </c>
      <c r="D244" s="3" t="str">
        <f>IFERROR(VLOOKUP($C244,merchants!$A$1:$D$41,2,FALSE),"Merchant not found")</f>
        <v>Merchant_029</v>
      </c>
      <c r="E244" s="3" t="str">
        <f>IFERROR(VLOOKUP($C244,merchants!$A$1:$D$41,3,FALSE),"Merchant not found")</f>
        <v>ecommerce</v>
      </c>
      <c r="F244" s="3" t="str">
        <f>IFERROR(VLOOKUP($C244,merchants!$A$1:$D$41,4,FALSE),"Merchant not found")</f>
        <v>North</v>
      </c>
      <c r="G244" s="5">
        <v>46037.7743055556</v>
      </c>
      <c r="H244" s="1">
        <v>799</v>
      </c>
      <c r="I244" s="1" t="s">
        <v>52</v>
      </c>
      <c r="J244" s="1" t="s">
        <v>50</v>
      </c>
      <c r="K244" s="1">
        <v>73</v>
      </c>
      <c r="L244" s="6">
        <f>IFERROR(HLOOKUP($I244,Reference!$B$1:$E$2,2,FALSE),0)</f>
        <v>0</v>
      </c>
      <c r="M244" s="7">
        <f t="shared" si="0"/>
        <v>46037</v>
      </c>
      <c r="N244" s="3" t="str">
        <f t="shared" si="1"/>
        <v>Regular</v>
      </c>
    </row>
    <row r="245" customHeight="1" spans="1:14">
      <c r="A245" s="1" t="s">
        <v>298</v>
      </c>
      <c r="B245" s="1">
        <v>310</v>
      </c>
      <c r="C245" s="1">
        <v>31</v>
      </c>
      <c r="D245" s="3" t="str">
        <f>IFERROR(VLOOKUP($C245,merchants!$A$1:$D$41,2,FALSE),"Merchant not found")</f>
        <v>Merchant_031</v>
      </c>
      <c r="E245" s="3" t="str">
        <f>IFERROR(VLOOKUP($C245,merchants!$A$1:$D$41,3,FALSE),"Merchant not found")</f>
        <v>bill_payment</v>
      </c>
      <c r="F245" s="3" t="str">
        <f>IFERROR(VLOOKUP($C245,merchants!$A$1:$D$41,4,FALSE),"Merchant not found")</f>
        <v>East</v>
      </c>
      <c r="G245" s="5">
        <v>46043.2638888889</v>
      </c>
      <c r="H245" s="1">
        <v>49</v>
      </c>
      <c r="I245" s="1" t="s">
        <v>64</v>
      </c>
      <c r="J245" s="1" t="s">
        <v>50</v>
      </c>
      <c r="K245" s="1">
        <v>64</v>
      </c>
      <c r="L245" s="6">
        <f>IFERROR(HLOOKUP($I245,Reference!$B$1:$E$2,2,FALSE),0)</f>
        <v>0.02</v>
      </c>
      <c r="M245" s="7">
        <f t="shared" si="0"/>
        <v>46043</v>
      </c>
      <c r="N245" s="3" t="str">
        <f t="shared" si="1"/>
        <v>Regular</v>
      </c>
    </row>
    <row r="246" customHeight="1" spans="1:14">
      <c r="A246" s="1" t="s">
        <v>299</v>
      </c>
      <c r="B246" s="1">
        <v>53</v>
      </c>
      <c r="C246" s="1">
        <v>22</v>
      </c>
      <c r="D246" s="3" t="str">
        <f>IFERROR(VLOOKUP($C246,merchants!$A$1:$D$41,2,FALSE),"Merchant not found")</f>
        <v>Merchant_022</v>
      </c>
      <c r="E246" s="3" t="str">
        <f>IFERROR(VLOOKUP($C246,merchants!$A$1:$D$41,3,FALSE),"Merchant not found")</f>
        <v>travel</v>
      </c>
      <c r="F246" s="3" t="str">
        <f>IFERROR(VLOOKUP($C246,merchants!$A$1:$D$41,4,FALSE),"Merchant not found")</f>
        <v>South</v>
      </c>
      <c r="G246" s="5">
        <v>46027.0611111111</v>
      </c>
      <c r="H246" s="1">
        <v>299</v>
      </c>
      <c r="I246" s="1" t="s">
        <v>52</v>
      </c>
      <c r="J246" s="1" t="s">
        <v>50</v>
      </c>
      <c r="K246" s="1">
        <v>91</v>
      </c>
      <c r="L246" s="6">
        <f>IFERROR(HLOOKUP($I246,Reference!$B$1:$E$2,2,FALSE),0)</f>
        <v>0</v>
      </c>
      <c r="M246" s="7">
        <f t="shared" si="0"/>
        <v>46027</v>
      </c>
      <c r="N246" s="3" t="str">
        <f t="shared" si="1"/>
        <v>Regular</v>
      </c>
    </row>
    <row r="247" customHeight="1" spans="1:14">
      <c r="A247" s="1" t="s">
        <v>300</v>
      </c>
      <c r="B247" s="1">
        <v>89</v>
      </c>
      <c r="C247" s="1">
        <v>3</v>
      </c>
      <c r="D247" s="3" t="str">
        <f>IFERROR(VLOOKUP($C247,merchants!$A$1:$D$41,2,FALSE),"Merchant not found")</f>
        <v>Merchant_003</v>
      </c>
      <c r="E247" s="3" t="str">
        <f>IFERROR(VLOOKUP($C247,merchants!$A$1:$D$41,3,FALSE),"Merchant not found")</f>
        <v>grocery</v>
      </c>
      <c r="F247" s="3" t="str">
        <f>IFERROR(VLOOKUP($C247,merchants!$A$1:$D$41,4,FALSE),"Merchant not found")</f>
        <v>East</v>
      </c>
      <c r="G247" s="5">
        <v>46025.6951388889</v>
      </c>
      <c r="H247" s="1">
        <v>149</v>
      </c>
      <c r="I247" s="1" t="s">
        <v>64</v>
      </c>
      <c r="J247" s="1" t="s">
        <v>50</v>
      </c>
      <c r="K247" s="1">
        <v>31</v>
      </c>
      <c r="L247" s="6">
        <f>IFERROR(HLOOKUP($I247,Reference!$B$1:$E$2,2,FALSE),0)</f>
        <v>0.02</v>
      </c>
      <c r="M247" s="7">
        <f t="shared" si="0"/>
        <v>46025</v>
      </c>
      <c r="N247" s="3" t="str">
        <f t="shared" si="1"/>
        <v>Regular</v>
      </c>
    </row>
    <row r="248" customHeight="1" spans="1:14">
      <c r="A248" s="1" t="s">
        <v>301</v>
      </c>
      <c r="B248" s="1">
        <v>269</v>
      </c>
      <c r="C248" s="1">
        <v>34</v>
      </c>
      <c r="D248" s="3" t="str">
        <f>IFERROR(VLOOKUP($C248,merchants!$A$1:$D$41,2,FALSE),"Merchant not found")</f>
        <v>Merchant_034</v>
      </c>
      <c r="E248" s="3" t="str">
        <f>IFERROR(VLOOKUP($C248,merchants!$A$1:$D$41,3,FALSE),"Merchant not found")</f>
        <v>travel</v>
      </c>
      <c r="F248" s="3" t="str">
        <f>IFERROR(VLOOKUP($C248,merchants!$A$1:$D$41,4,FALSE),"Merchant not found")</f>
        <v>South</v>
      </c>
      <c r="G248" s="5">
        <v>46045.6027777778</v>
      </c>
      <c r="H248" s="1">
        <v>149</v>
      </c>
      <c r="I248" s="1" t="s">
        <v>52</v>
      </c>
      <c r="J248" s="1" t="s">
        <v>50</v>
      </c>
      <c r="K248" s="1">
        <v>78</v>
      </c>
      <c r="L248" s="6">
        <f>IFERROR(HLOOKUP($I248,Reference!$B$1:$E$2,2,FALSE),0)</f>
        <v>0</v>
      </c>
      <c r="M248" s="7">
        <f t="shared" si="0"/>
        <v>46045</v>
      </c>
      <c r="N248" s="3" t="str">
        <f t="shared" si="1"/>
        <v>Regular</v>
      </c>
    </row>
    <row r="249" customHeight="1" spans="1:14">
      <c r="A249" s="1" t="s">
        <v>302</v>
      </c>
      <c r="B249" s="1">
        <v>145</v>
      </c>
      <c r="C249" s="1">
        <v>25</v>
      </c>
      <c r="D249" s="3" t="str">
        <f>IFERROR(VLOOKUP($C249,merchants!$A$1:$D$41,2,FALSE),"Merchant not found")</f>
        <v>Merchant_025</v>
      </c>
      <c r="E249" s="3" t="str">
        <f>IFERROR(VLOOKUP($C249,merchants!$A$1:$D$41,3,FALSE),"Merchant not found")</f>
        <v>travel</v>
      </c>
      <c r="F249" s="3" t="str">
        <f>IFERROR(VLOOKUP($C249,merchants!$A$1:$D$41,4,FALSE),"Merchant not found")</f>
        <v>South</v>
      </c>
      <c r="G249" s="5">
        <v>46028.4743055556</v>
      </c>
      <c r="H249" s="1">
        <v>799</v>
      </c>
      <c r="I249" s="1" t="s">
        <v>52</v>
      </c>
      <c r="J249" s="1" t="s">
        <v>50</v>
      </c>
      <c r="K249" s="1">
        <v>52</v>
      </c>
      <c r="L249" s="6">
        <f>IFERROR(HLOOKUP($I249,Reference!$B$1:$E$2,2,FALSE),0)</f>
        <v>0</v>
      </c>
      <c r="M249" s="7">
        <f t="shared" si="0"/>
        <v>46028</v>
      </c>
      <c r="N249" s="3" t="str">
        <f t="shared" si="1"/>
        <v>Regular</v>
      </c>
    </row>
    <row r="250" customHeight="1" spans="1:14">
      <c r="A250" s="1" t="s">
        <v>303</v>
      </c>
      <c r="B250" s="1">
        <v>307</v>
      </c>
      <c r="C250" s="1">
        <v>4</v>
      </c>
      <c r="D250" s="3" t="str">
        <f>IFERROR(VLOOKUP($C250,merchants!$A$1:$D$41,2,FALSE),"Merchant not found")</f>
        <v>Merchant_004</v>
      </c>
      <c r="E250" s="3" t="str">
        <f>IFERROR(VLOOKUP($C250,merchants!$A$1:$D$41,3,FALSE),"Merchant not found")</f>
        <v>ecommerce</v>
      </c>
      <c r="F250" s="3" t="str">
        <f>IFERROR(VLOOKUP($C250,merchants!$A$1:$D$41,4,FALSE),"Merchant not found")</f>
        <v>East</v>
      </c>
      <c r="G250" s="5">
        <v>46047.4465277778</v>
      </c>
      <c r="H250" s="1">
        <v>1499</v>
      </c>
      <c r="I250" s="1" t="s">
        <v>52</v>
      </c>
      <c r="J250" s="1" t="s">
        <v>50</v>
      </c>
      <c r="K250" s="1">
        <v>80</v>
      </c>
      <c r="L250" s="6">
        <f>IFERROR(HLOOKUP($I250,Reference!$B$1:$E$2,2,FALSE),0)</f>
        <v>0</v>
      </c>
      <c r="M250" s="7">
        <f t="shared" si="0"/>
        <v>46047</v>
      </c>
      <c r="N250" s="3" t="str">
        <f t="shared" si="1"/>
        <v>Regular</v>
      </c>
    </row>
    <row r="251" customHeight="1" spans="1:14">
      <c r="A251" s="1" t="s">
        <v>304</v>
      </c>
      <c r="B251" s="1">
        <v>169</v>
      </c>
      <c r="C251" s="1">
        <v>7</v>
      </c>
      <c r="D251" s="3" t="str">
        <f>IFERROR(VLOOKUP($C251,merchants!$A$1:$D$41,2,FALSE),"Merchant not found")</f>
        <v>Merchant_007</v>
      </c>
      <c r="E251" s="3" t="str">
        <f>IFERROR(VLOOKUP($C251,merchants!$A$1:$D$41,3,FALSE),"Merchant not found")</f>
        <v>food_delivery</v>
      </c>
      <c r="F251" s="3" t="str">
        <f>IFERROR(VLOOKUP($C251,merchants!$A$1:$D$41,4,FALSE),"Merchant not found")</f>
        <v>East</v>
      </c>
      <c r="G251" s="5">
        <v>46043.4194444444</v>
      </c>
      <c r="H251" s="1">
        <v>1499</v>
      </c>
      <c r="I251" s="1" t="s">
        <v>49</v>
      </c>
      <c r="J251" s="1" t="s">
        <v>50</v>
      </c>
      <c r="K251" s="1">
        <v>71</v>
      </c>
      <c r="L251" s="6">
        <f>IFERROR(HLOOKUP($I251,Reference!$B$1:$E$2,2,FALSE),0)</f>
        <v>0.015</v>
      </c>
      <c r="M251" s="7">
        <f t="shared" si="0"/>
        <v>46043</v>
      </c>
      <c r="N251" s="3" t="str">
        <f t="shared" si="1"/>
        <v>Regular</v>
      </c>
    </row>
    <row r="252" customHeight="1" spans="1:14">
      <c r="A252" s="1" t="s">
        <v>305</v>
      </c>
      <c r="B252" s="1">
        <v>130</v>
      </c>
      <c r="C252" s="1">
        <v>39</v>
      </c>
      <c r="D252" s="3" t="str">
        <f>IFERROR(VLOOKUP($C252,merchants!$A$1:$D$41,2,FALSE),"Merchant not found")</f>
        <v>Merchant_039</v>
      </c>
      <c r="E252" s="3" t="str">
        <f>IFERROR(VLOOKUP($C252,merchants!$A$1:$D$41,3,FALSE),"Merchant not found")</f>
        <v>entertainment</v>
      </c>
      <c r="F252" s="3" t="str">
        <f>IFERROR(VLOOKUP($C252,merchants!$A$1:$D$41,4,FALSE),"Merchant not found")</f>
        <v>North</v>
      </c>
      <c r="G252" s="5">
        <v>46044.5125</v>
      </c>
      <c r="H252" s="1">
        <v>2999</v>
      </c>
      <c r="I252" s="1" t="s">
        <v>49</v>
      </c>
      <c r="J252" s="1" t="s">
        <v>50</v>
      </c>
      <c r="K252" s="1">
        <v>19</v>
      </c>
      <c r="L252" s="6">
        <f>IFERROR(HLOOKUP($I252,Reference!$B$1:$E$2,2,FALSE),0)</f>
        <v>0.015</v>
      </c>
      <c r="M252" s="7">
        <f t="shared" si="0"/>
        <v>46044</v>
      </c>
      <c r="N252" s="3" t="str">
        <f t="shared" si="1"/>
        <v>High-Value Merchant Day</v>
      </c>
    </row>
    <row r="253" customHeight="1" spans="1:14">
      <c r="A253" s="1" t="s">
        <v>306</v>
      </c>
      <c r="B253" s="1">
        <v>340</v>
      </c>
      <c r="C253" s="1">
        <v>10</v>
      </c>
      <c r="D253" s="3" t="str">
        <f>IFERROR(VLOOKUP($C253,merchants!$A$1:$D$41,2,FALSE),"Merchant not found")</f>
        <v>Merchant_010</v>
      </c>
      <c r="E253" s="3" t="str">
        <f>IFERROR(VLOOKUP($C253,merchants!$A$1:$D$41,3,FALSE),"Merchant not found")</f>
        <v>grocery</v>
      </c>
      <c r="F253" s="3" t="str">
        <f>IFERROR(VLOOKUP($C253,merchants!$A$1:$D$41,4,FALSE),"Merchant not found")</f>
        <v>West</v>
      </c>
      <c r="G253" s="5">
        <v>46033.1090277778</v>
      </c>
      <c r="H253" s="1">
        <v>49</v>
      </c>
      <c r="I253" s="1" t="s">
        <v>64</v>
      </c>
      <c r="J253" s="1" t="s">
        <v>50</v>
      </c>
      <c r="K253" s="1">
        <v>44</v>
      </c>
      <c r="L253" s="6">
        <f>IFERROR(HLOOKUP($I253,Reference!$B$1:$E$2,2,FALSE),0)</f>
        <v>0.02</v>
      </c>
      <c r="M253" s="7">
        <f t="shared" si="0"/>
        <v>46033</v>
      </c>
      <c r="N253" s="3" t="str">
        <f t="shared" si="1"/>
        <v>Regular</v>
      </c>
    </row>
    <row r="254" customHeight="1" spans="1:14">
      <c r="A254" s="1" t="s">
        <v>307</v>
      </c>
      <c r="B254" s="1">
        <v>340</v>
      </c>
      <c r="C254" s="1">
        <v>26</v>
      </c>
      <c r="D254" s="3" t="str">
        <f>IFERROR(VLOOKUP($C254,merchants!$A$1:$D$41,2,FALSE),"Merchant not found")</f>
        <v>Merchant_026</v>
      </c>
      <c r="E254" s="3" t="str">
        <f>IFERROR(VLOOKUP($C254,merchants!$A$1:$D$41,3,FALSE),"Merchant not found")</f>
        <v>food_delivery</v>
      </c>
      <c r="F254" s="3" t="str">
        <f>IFERROR(VLOOKUP($C254,merchants!$A$1:$D$41,4,FALSE),"Merchant not found")</f>
        <v>East</v>
      </c>
      <c r="G254" s="5">
        <v>46032.8638888889</v>
      </c>
      <c r="H254" s="1">
        <v>299</v>
      </c>
      <c r="I254" s="1" t="s">
        <v>64</v>
      </c>
      <c r="J254" s="1" t="s">
        <v>50</v>
      </c>
      <c r="K254" s="1">
        <v>16</v>
      </c>
      <c r="L254" s="6">
        <f>IFERROR(HLOOKUP($I254,Reference!$B$1:$E$2,2,FALSE),0)</f>
        <v>0.02</v>
      </c>
      <c r="M254" s="7">
        <f t="shared" si="0"/>
        <v>46032</v>
      </c>
      <c r="N254" s="3" t="str">
        <f t="shared" si="1"/>
        <v>Regular</v>
      </c>
    </row>
    <row r="255" customHeight="1" spans="1:14">
      <c r="A255" s="1" t="s">
        <v>308</v>
      </c>
      <c r="B255" s="1">
        <v>159</v>
      </c>
      <c r="C255" s="1">
        <v>36</v>
      </c>
      <c r="D255" s="3" t="str">
        <f>IFERROR(VLOOKUP($C255,merchants!$A$1:$D$41,2,FALSE),"Merchant not found")</f>
        <v>Merchant_036</v>
      </c>
      <c r="E255" s="3" t="str">
        <f>IFERROR(VLOOKUP($C255,merchants!$A$1:$D$41,3,FALSE),"Merchant not found")</f>
        <v>entertainment</v>
      </c>
      <c r="F255" s="3" t="str">
        <f>IFERROR(VLOOKUP($C255,merchants!$A$1:$D$41,4,FALSE),"Merchant not found")</f>
        <v>East</v>
      </c>
      <c r="G255" s="5">
        <v>46042.9201388889</v>
      </c>
      <c r="H255" s="1">
        <v>49</v>
      </c>
      <c r="I255" s="1" t="s">
        <v>52</v>
      </c>
      <c r="J255" s="1" t="s">
        <v>50</v>
      </c>
      <c r="K255" s="1">
        <v>48</v>
      </c>
      <c r="L255" s="6">
        <f>IFERROR(HLOOKUP($I255,Reference!$B$1:$E$2,2,FALSE),0)</f>
        <v>0</v>
      </c>
      <c r="M255" s="7">
        <f t="shared" si="0"/>
        <v>46042</v>
      </c>
      <c r="N255" s="3" t="str">
        <f t="shared" si="1"/>
        <v>Regular</v>
      </c>
    </row>
    <row r="256" customHeight="1" spans="1:14">
      <c r="A256" s="1" t="s">
        <v>309</v>
      </c>
      <c r="B256" s="1">
        <v>66</v>
      </c>
      <c r="C256" s="1">
        <v>34</v>
      </c>
      <c r="D256" s="3" t="str">
        <f>IFERROR(VLOOKUP($C256,merchants!$A$1:$D$41,2,FALSE),"Merchant not found")</f>
        <v>Merchant_034</v>
      </c>
      <c r="E256" s="3" t="str">
        <f>IFERROR(VLOOKUP($C256,merchants!$A$1:$D$41,3,FALSE),"Merchant not found")</f>
        <v>travel</v>
      </c>
      <c r="F256" s="3" t="str">
        <f>IFERROR(VLOOKUP($C256,merchants!$A$1:$D$41,4,FALSE),"Merchant not found")</f>
        <v>South</v>
      </c>
      <c r="G256" s="5">
        <v>46043.4527777778</v>
      </c>
      <c r="H256" s="1">
        <v>799</v>
      </c>
      <c r="I256" s="1" t="s">
        <v>52</v>
      </c>
      <c r="J256" s="1" t="s">
        <v>50</v>
      </c>
      <c r="K256" s="1">
        <v>11</v>
      </c>
      <c r="L256" s="6">
        <f>IFERROR(HLOOKUP($I256,Reference!$B$1:$E$2,2,FALSE),0)</f>
        <v>0</v>
      </c>
      <c r="M256" s="7">
        <f t="shared" si="0"/>
        <v>46043</v>
      </c>
      <c r="N256" s="3" t="str">
        <f t="shared" si="1"/>
        <v>Regular</v>
      </c>
    </row>
    <row r="257" customHeight="1" spans="1:14">
      <c r="A257" s="1" t="s">
        <v>310</v>
      </c>
      <c r="B257" s="1">
        <v>261</v>
      </c>
      <c r="C257" s="1">
        <v>24</v>
      </c>
      <c r="D257" s="3" t="str">
        <f>IFERROR(VLOOKUP($C257,merchants!$A$1:$D$41,2,FALSE),"Merchant not found")</f>
        <v>Merchant_024</v>
      </c>
      <c r="E257" s="3" t="str">
        <f>IFERROR(VLOOKUP($C257,merchants!$A$1:$D$41,3,FALSE),"Merchant not found")</f>
        <v>grocery</v>
      </c>
      <c r="F257" s="3" t="str">
        <f>IFERROR(VLOOKUP($C257,merchants!$A$1:$D$41,4,FALSE),"Merchant not found")</f>
        <v>North</v>
      </c>
      <c r="G257" s="5">
        <v>46043.89375</v>
      </c>
      <c r="H257" s="1">
        <v>799</v>
      </c>
      <c r="I257" s="1" t="s">
        <v>64</v>
      </c>
      <c r="J257" s="1" t="s">
        <v>50</v>
      </c>
      <c r="K257" s="1">
        <v>2</v>
      </c>
      <c r="L257" s="6">
        <f>IFERROR(HLOOKUP($I257,Reference!$B$1:$E$2,2,FALSE),0)</f>
        <v>0.02</v>
      </c>
      <c r="M257" s="7">
        <f t="shared" si="0"/>
        <v>46043</v>
      </c>
      <c r="N257" s="3" t="str">
        <f t="shared" si="1"/>
        <v>Regular</v>
      </c>
    </row>
    <row r="258" customHeight="1" spans="1:14">
      <c r="A258" s="1" t="s">
        <v>311</v>
      </c>
      <c r="B258" s="1">
        <v>110</v>
      </c>
      <c r="C258" s="1">
        <v>22</v>
      </c>
      <c r="D258" s="3" t="str">
        <f>IFERROR(VLOOKUP($C258,merchants!$A$1:$D$41,2,FALSE),"Merchant not found")</f>
        <v>Merchant_022</v>
      </c>
      <c r="E258" s="3" t="str">
        <f>IFERROR(VLOOKUP($C258,merchants!$A$1:$D$41,3,FALSE),"Merchant not found")</f>
        <v>travel</v>
      </c>
      <c r="F258" s="3" t="str">
        <f>IFERROR(VLOOKUP($C258,merchants!$A$1:$D$41,4,FALSE),"Merchant not found")</f>
        <v>South</v>
      </c>
      <c r="G258" s="5">
        <v>46034.3826388889</v>
      </c>
      <c r="H258" s="1">
        <v>799</v>
      </c>
      <c r="I258" s="1" t="s">
        <v>52</v>
      </c>
      <c r="J258" s="1" t="s">
        <v>50</v>
      </c>
      <c r="K258" s="1">
        <v>98</v>
      </c>
      <c r="L258" s="6">
        <f>IFERROR(HLOOKUP($I258,Reference!$B$1:$E$2,2,FALSE),0)</f>
        <v>0</v>
      </c>
      <c r="M258" s="7">
        <f t="shared" si="0"/>
        <v>46034</v>
      </c>
      <c r="N258" s="3" t="str">
        <f t="shared" si="1"/>
        <v>Regular</v>
      </c>
    </row>
    <row r="259" customHeight="1" spans="1:14">
      <c r="A259" s="1" t="s">
        <v>312</v>
      </c>
      <c r="B259" s="1">
        <v>71</v>
      </c>
      <c r="C259" s="1">
        <v>10</v>
      </c>
      <c r="D259" s="3" t="str">
        <f>IFERROR(VLOOKUP($C259,merchants!$A$1:$D$41,2,FALSE),"Merchant not found")</f>
        <v>Merchant_010</v>
      </c>
      <c r="E259" s="3" t="str">
        <f>IFERROR(VLOOKUP($C259,merchants!$A$1:$D$41,3,FALSE),"Merchant not found")</f>
        <v>grocery</v>
      </c>
      <c r="F259" s="3" t="str">
        <f>IFERROR(VLOOKUP($C259,merchants!$A$1:$D$41,4,FALSE),"Merchant not found")</f>
        <v>West</v>
      </c>
      <c r="G259" s="5">
        <v>46038.2597222222</v>
      </c>
      <c r="H259" s="1">
        <v>49</v>
      </c>
      <c r="I259" s="1" t="s">
        <v>52</v>
      </c>
      <c r="J259" s="1" t="s">
        <v>50</v>
      </c>
      <c r="K259" s="1">
        <v>9</v>
      </c>
      <c r="L259" s="6">
        <f>IFERROR(HLOOKUP($I259,Reference!$B$1:$E$2,2,FALSE),0)</f>
        <v>0</v>
      </c>
      <c r="M259" s="7">
        <f t="shared" si="0"/>
        <v>46038</v>
      </c>
      <c r="N259" s="3" t="str">
        <f t="shared" si="1"/>
        <v>Regular</v>
      </c>
    </row>
    <row r="260" customHeight="1" spans="1:14">
      <c r="A260" s="1" t="s">
        <v>313</v>
      </c>
      <c r="B260" s="1">
        <v>277</v>
      </c>
      <c r="C260" s="1">
        <v>34</v>
      </c>
      <c r="D260" s="3" t="str">
        <f>IFERROR(VLOOKUP($C260,merchants!$A$1:$D$41,2,FALSE),"Merchant not found")</f>
        <v>Merchant_034</v>
      </c>
      <c r="E260" s="3" t="str">
        <f>IFERROR(VLOOKUP($C260,merchants!$A$1:$D$41,3,FALSE),"Merchant not found")</f>
        <v>travel</v>
      </c>
      <c r="F260" s="3" t="str">
        <f>IFERROR(VLOOKUP($C260,merchants!$A$1:$D$41,4,FALSE),"Merchant not found")</f>
        <v>South</v>
      </c>
      <c r="G260" s="5">
        <v>46032.1472222222</v>
      </c>
      <c r="H260" s="1">
        <v>49</v>
      </c>
      <c r="I260" s="1" t="s">
        <v>52</v>
      </c>
      <c r="J260" s="1" t="s">
        <v>50</v>
      </c>
      <c r="K260" s="1">
        <v>4</v>
      </c>
      <c r="L260" s="6">
        <f>IFERROR(HLOOKUP($I260,Reference!$B$1:$E$2,2,FALSE),0)</f>
        <v>0</v>
      </c>
      <c r="M260" s="7">
        <f t="shared" si="0"/>
        <v>46032</v>
      </c>
      <c r="N260" s="3" t="str">
        <f t="shared" si="1"/>
        <v>Regular</v>
      </c>
    </row>
    <row r="261" customHeight="1" spans="1:14">
      <c r="A261" s="1" t="s">
        <v>314</v>
      </c>
      <c r="B261" s="1">
        <v>317</v>
      </c>
      <c r="C261" s="1">
        <v>9</v>
      </c>
      <c r="D261" s="3" t="str">
        <f>IFERROR(VLOOKUP($C261,merchants!$A$1:$D$41,2,FALSE),"Merchant not found")</f>
        <v>Merchant_009</v>
      </c>
      <c r="E261" s="3" t="str">
        <f>IFERROR(VLOOKUP($C261,merchants!$A$1:$D$41,3,FALSE),"Merchant not found")</f>
        <v>ecommerce</v>
      </c>
      <c r="F261" s="3" t="str">
        <f>IFERROR(VLOOKUP($C261,merchants!$A$1:$D$41,4,FALSE),"Merchant not found")</f>
        <v>North</v>
      </c>
      <c r="G261" s="5">
        <v>46044.4555555556</v>
      </c>
      <c r="H261" s="1">
        <v>499</v>
      </c>
      <c r="I261" s="1" t="s">
        <v>49</v>
      </c>
      <c r="J261" s="1" t="s">
        <v>50</v>
      </c>
      <c r="K261" s="1">
        <v>76</v>
      </c>
      <c r="L261" s="6">
        <f>IFERROR(HLOOKUP($I261,Reference!$B$1:$E$2,2,FALSE),0)</f>
        <v>0.015</v>
      </c>
      <c r="M261" s="7">
        <f t="shared" si="0"/>
        <v>46044</v>
      </c>
      <c r="N261" s="3" t="str">
        <f t="shared" si="1"/>
        <v>Regular</v>
      </c>
    </row>
    <row r="262" customHeight="1" spans="1:14">
      <c r="A262" s="1" t="s">
        <v>315</v>
      </c>
      <c r="B262" s="1">
        <v>93</v>
      </c>
      <c r="C262" s="1">
        <v>40</v>
      </c>
      <c r="D262" s="3" t="str">
        <f>IFERROR(VLOOKUP($C262,merchants!$A$1:$D$41,2,FALSE),"Merchant not found")</f>
        <v>Merchant_040</v>
      </c>
      <c r="E262" s="3" t="str">
        <f>IFERROR(VLOOKUP($C262,merchants!$A$1:$D$41,3,FALSE),"Merchant not found")</f>
        <v>entertainment</v>
      </c>
      <c r="F262" s="3" t="str">
        <f>IFERROR(VLOOKUP($C262,merchants!$A$1:$D$41,4,FALSE),"Merchant not found")</f>
        <v>South</v>
      </c>
      <c r="G262" s="5">
        <v>46035.1736111111</v>
      </c>
      <c r="H262" s="1">
        <v>299</v>
      </c>
      <c r="I262" s="1" t="s">
        <v>52</v>
      </c>
      <c r="J262" s="1" t="s">
        <v>50</v>
      </c>
      <c r="K262" s="1">
        <v>21</v>
      </c>
      <c r="L262" s="6">
        <f>IFERROR(HLOOKUP($I262,Reference!$B$1:$E$2,2,FALSE),0)</f>
        <v>0</v>
      </c>
      <c r="M262" s="7">
        <f t="shared" si="0"/>
        <v>46035</v>
      </c>
      <c r="N262" s="3" t="str">
        <f t="shared" si="1"/>
        <v>Regular</v>
      </c>
    </row>
    <row r="263" customHeight="1" spans="1:14">
      <c r="A263" s="1" t="s">
        <v>316</v>
      </c>
      <c r="B263" s="1">
        <v>211</v>
      </c>
      <c r="C263" s="1">
        <v>24</v>
      </c>
      <c r="D263" s="3" t="str">
        <f>IFERROR(VLOOKUP($C263,merchants!$A$1:$D$41,2,FALSE),"Merchant not found")</f>
        <v>Merchant_024</v>
      </c>
      <c r="E263" s="3" t="str">
        <f>IFERROR(VLOOKUP($C263,merchants!$A$1:$D$41,3,FALSE),"Merchant not found")</f>
        <v>grocery</v>
      </c>
      <c r="F263" s="3" t="str">
        <f>IFERROR(VLOOKUP($C263,merchants!$A$1:$D$41,4,FALSE),"Merchant not found")</f>
        <v>North</v>
      </c>
      <c r="G263" s="5">
        <v>46046.5847222222</v>
      </c>
      <c r="H263" s="1">
        <v>99</v>
      </c>
      <c r="I263" s="1" t="s">
        <v>55</v>
      </c>
      <c r="J263" s="1" t="s">
        <v>50</v>
      </c>
      <c r="K263" s="1">
        <v>86</v>
      </c>
      <c r="L263" s="6">
        <f>IFERROR(HLOOKUP($I263,Reference!$B$1:$E$2,2,FALSE),0)</f>
        <v>0.01</v>
      </c>
      <c r="M263" s="7">
        <f t="shared" si="0"/>
        <v>46046</v>
      </c>
      <c r="N263" s="3" t="str">
        <f t="shared" si="1"/>
        <v>Regular</v>
      </c>
    </row>
    <row r="264" customHeight="1" spans="1:14">
      <c r="A264" s="1" t="s">
        <v>317</v>
      </c>
      <c r="B264" s="1">
        <v>313</v>
      </c>
      <c r="C264" s="1">
        <v>19</v>
      </c>
      <c r="D264" s="3" t="str">
        <f>IFERROR(VLOOKUP($C264,merchants!$A$1:$D$41,2,FALSE),"Merchant not found")</f>
        <v>Merchant_019</v>
      </c>
      <c r="E264" s="3" t="str">
        <f>IFERROR(VLOOKUP($C264,merchants!$A$1:$D$41,3,FALSE),"Merchant not found")</f>
        <v>grocery</v>
      </c>
      <c r="F264" s="3" t="str">
        <f>IFERROR(VLOOKUP($C264,merchants!$A$1:$D$41,4,FALSE),"Merchant not found")</f>
        <v>North</v>
      </c>
      <c r="G264" s="5">
        <v>46046.3111111111</v>
      </c>
      <c r="H264" s="1">
        <v>149</v>
      </c>
      <c r="I264" s="1" t="s">
        <v>52</v>
      </c>
      <c r="J264" s="1" t="s">
        <v>50</v>
      </c>
      <c r="K264" s="1">
        <v>96</v>
      </c>
      <c r="L264" s="6">
        <f>IFERROR(HLOOKUP($I264,Reference!$B$1:$E$2,2,FALSE),0)</f>
        <v>0</v>
      </c>
      <c r="M264" s="7">
        <f t="shared" si="0"/>
        <v>46046</v>
      </c>
      <c r="N264" s="3" t="str">
        <f t="shared" si="1"/>
        <v>Regular</v>
      </c>
    </row>
    <row r="265" customHeight="1" spans="1:14">
      <c r="A265" s="1" t="s">
        <v>318</v>
      </c>
      <c r="B265" s="1">
        <v>274</v>
      </c>
      <c r="C265" s="1">
        <v>16</v>
      </c>
      <c r="D265" s="3" t="str">
        <f>IFERROR(VLOOKUP($C265,merchants!$A$1:$D$41,2,FALSE),"Merchant not found")</f>
        <v>Merchant_016</v>
      </c>
      <c r="E265" s="3" t="str">
        <f>IFERROR(VLOOKUP($C265,merchants!$A$1:$D$41,3,FALSE),"Merchant not found")</f>
        <v>bill_payment</v>
      </c>
      <c r="F265" s="3" t="str">
        <f>IFERROR(VLOOKUP($C265,merchants!$A$1:$D$41,4,FALSE),"Merchant not found")</f>
        <v>West</v>
      </c>
      <c r="G265" s="5">
        <v>46046.5930555556</v>
      </c>
      <c r="H265" s="1">
        <v>49</v>
      </c>
      <c r="I265" s="1" t="s">
        <v>49</v>
      </c>
      <c r="J265" s="1" t="s">
        <v>65</v>
      </c>
      <c r="K265" s="1">
        <v>39</v>
      </c>
      <c r="L265" s="6">
        <f>IFERROR(HLOOKUP($I265,Reference!$B$1:$E$2,2,FALSE),0)</f>
        <v>0.015</v>
      </c>
      <c r="M265" s="7">
        <f t="shared" si="0"/>
        <v>46046</v>
      </c>
      <c r="N265" s="3" t="str">
        <f t="shared" si="1"/>
        <v>Regular</v>
      </c>
    </row>
    <row r="266" customHeight="1" spans="1:14">
      <c r="A266" s="1" t="s">
        <v>319</v>
      </c>
      <c r="B266" s="1">
        <v>100</v>
      </c>
      <c r="C266" s="1">
        <v>24</v>
      </c>
      <c r="D266" s="3" t="str">
        <f>IFERROR(VLOOKUP($C266,merchants!$A$1:$D$41,2,FALSE),"Merchant not found")</f>
        <v>Merchant_024</v>
      </c>
      <c r="E266" s="3" t="str">
        <f>IFERROR(VLOOKUP($C266,merchants!$A$1:$D$41,3,FALSE),"Merchant not found")</f>
        <v>grocery</v>
      </c>
      <c r="F266" s="3" t="str">
        <f>IFERROR(VLOOKUP($C266,merchants!$A$1:$D$41,4,FALSE),"Merchant not found")</f>
        <v>North</v>
      </c>
      <c r="G266" s="5">
        <v>46048.6645833333</v>
      </c>
      <c r="H266" s="1">
        <v>299</v>
      </c>
      <c r="I266" s="1" t="s">
        <v>52</v>
      </c>
      <c r="J266" s="1" t="s">
        <v>50</v>
      </c>
      <c r="K266" s="1">
        <v>86</v>
      </c>
      <c r="L266" s="6">
        <f>IFERROR(HLOOKUP($I266,Reference!$B$1:$E$2,2,FALSE),0)</f>
        <v>0</v>
      </c>
      <c r="M266" s="7">
        <f t="shared" si="0"/>
        <v>46048</v>
      </c>
      <c r="N266" s="3" t="str">
        <f t="shared" si="1"/>
        <v>Regular</v>
      </c>
    </row>
    <row r="267" customHeight="1" spans="1:14">
      <c r="A267" s="1" t="s">
        <v>320</v>
      </c>
      <c r="B267" s="1">
        <v>145</v>
      </c>
      <c r="C267" s="1">
        <v>25</v>
      </c>
      <c r="D267" s="3" t="str">
        <f>IFERROR(VLOOKUP($C267,merchants!$A$1:$D$41,2,FALSE),"Merchant not found")</f>
        <v>Merchant_025</v>
      </c>
      <c r="E267" s="3" t="str">
        <f>IFERROR(VLOOKUP($C267,merchants!$A$1:$D$41,3,FALSE),"Merchant not found")</f>
        <v>travel</v>
      </c>
      <c r="F267" s="3" t="str">
        <f>IFERROR(VLOOKUP($C267,merchants!$A$1:$D$41,4,FALSE),"Merchant not found")</f>
        <v>South</v>
      </c>
      <c r="G267" s="5">
        <v>46041.6034722222</v>
      </c>
      <c r="H267" s="1">
        <v>2999</v>
      </c>
      <c r="I267" s="1" t="s">
        <v>49</v>
      </c>
      <c r="J267" s="1" t="s">
        <v>50</v>
      </c>
      <c r="K267" s="1">
        <v>64</v>
      </c>
      <c r="L267" s="6">
        <f>IFERROR(HLOOKUP($I267,Reference!$B$1:$E$2,2,FALSE),0)</f>
        <v>0.015</v>
      </c>
      <c r="M267" s="7">
        <f t="shared" si="0"/>
        <v>46041</v>
      </c>
      <c r="N267" s="3" t="str">
        <f t="shared" si="1"/>
        <v>Regular</v>
      </c>
    </row>
    <row r="268" customHeight="1" spans="1:14">
      <c r="A268" s="1" t="s">
        <v>321</v>
      </c>
      <c r="B268" s="1">
        <v>103</v>
      </c>
      <c r="C268" s="1">
        <v>39</v>
      </c>
      <c r="D268" s="3" t="str">
        <f>IFERROR(VLOOKUP($C268,merchants!$A$1:$D$41,2,FALSE),"Merchant not found")</f>
        <v>Merchant_039</v>
      </c>
      <c r="E268" s="3" t="str">
        <f>IFERROR(VLOOKUP($C268,merchants!$A$1:$D$41,3,FALSE),"Merchant not found")</f>
        <v>entertainment</v>
      </c>
      <c r="F268" s="3" t="str">
        <f>IFERROR(VLOOKUP($C268,merchants!$A$1:$D$41,4,FALSE),"Merchant not found")</f>
        <v>North</v>
      </c>
      <c r="G268" s="5">
        <v>46039.5486111111</v>
      </c>
      <c r="H268" s="1">
        <v>2999</v>
      </c>
      <c r="I268" s="1" t="s">
        <v>49</v>
      </c>
      <c r="J268" s="1" t="s">
        <v>50</v>
      </c>
      <c r="K268" s="1">
        <v>17</v>
      </c>
      <c r="L268" s="6">
        <f>IFERROR(HLOOKUP($I268,Reference!$B$1:$E$2,2,FALSE),0)</f>
        <v>0.015</v>
      </c>
      <c r="M268" s="7">
        <f t="shared" si="0"/>
        <v>46039</v>
      </c>
      <c r="N268" s="3" t="str">
        <f t="shared" si="1"/>
        <v>Regular</v>
      </c>
    </row>
    <row r="269" customHeight="1" spans="1:14">
      <c r="A269" s="1" t="s">
        <v>322</v>
      </c>
      <c r="B269" s="1">
        <v>329</v>
      </c>
      <c r="C269" s="1">
        <v>31</v>
      </c>
      <c r="D269" s="3" t="str">
        <f>IFERROR(VLOOKUP($C269,merchants!$A$1:$D$41,2,FALSE),"Merchant not found")</f>
        <v>Merchant_031</v>
      </c>
      <c r="E269" s="3" t="str">
        <f>IFERROR(VLOOKUP($C269,merchants!$A$1:$D$41,3,FALSE),"Merchant not found")</f>
        <v>bill_payment</v>
      </c>
      <c r="F269" s="3" t="str">
        <f>IFERROR(VLOOKUP($C269,merchants!$A$1:$D$41,4,FALSE),"Merchant not found")</f>
        <v>East</v>
      </c>
      <c r="G269" s="5">
        <v>46050.3354166667</v>
      </c>
      <c r="H269" s="1">
        <v>299</v>
      </c>
      <c r="I269" s="1" t="s">
        <v>49</v>
      </c>
      <c r="J269" s="1" t="s">
        <v>50</v>
      </c>
      <c r="K269" s="1">
        <v>47</v>
      </c>
      <c r="L269" s="6">
        <f>IFERROR(HLOOKUP($I269,Reference!$B$1:$E$2,2,FALSE),0)</f>
        <v>0.015</v>
      </c>
      <c r="M269" s="7">
        <f t="shared" si="0"/>
        <v>46050</v>
      </c>
      <c r="N269" s="3" t="str">
        <f t="shared" si="1"/>
        <v>Regular</v>
      </c>
    </row>
    <row r="270" customHeight="1" spans="1:14">
      <c r="A270" s="1" t="s">
        <v>323</v>
      </c>
      <c r="B270" s="1">
        <v>265</v>
      </c>
      <c r="C270" s="1">
        <v>8</v>
      </c>
      <c r="D270" s="3" t="str">
        <f>IFERROR(VLOOKUP($C270,merchants!$A$1:$D$41,2,FALSE),"Merchant not found")</f>
        <v>Merchant_008</v>
      </c>
      <c r="E270" s="3" t="str">
        <f>IFERROR(VLOOKUP($C270,merchants!$A$1:$D$41,3,FALSE),"Merchant not found")</f>
        <v>food_delivery</v>
      </c>
      <c r="F270" s="3" t="str">
        <f>IFERROR(VLOOKUP($C270,merchants!$A$1:$D$41,4,FALSE),"Merchant not found")</f>
        <v>North</v>
      </c>
      <c r="G270" s="5">
        <v>46040.15625</v>
      </c>
      <c r="H270" s="1">
        <v>499</v>
      </c>
      <c r="I270" s="1" t="s">
        <v>55</v>
      </c>
      <c r="J270" s="1" t="s">
        <v>50</v>
      </c>
      <c r="K270" s="1">
        <v>36</v>
      </c>
      <c r="L270" s="6">
        <f>IFERROR(HLOOKUP($I270,Reference!$B$1:$E$2,2,FALSE),0)</f>
        <v>0.01</v>
      </c>
      <c r="M270" s="7">
        <f t="shared" si="0"/>
        <v>46040</v>
      </c>
      <c r="N270" s="3" t="str">
        <f t="shared" si="1"/>
        <v>Regular</v>
      </c>
    </row>
    <row r="271" customHeight="1" spans="1:14">
      <c r="A271" s="1" t="s">
        <v>324</v>
      </c>
      <c r="B271" s="1">
        <v>231</v>
      </c>
      <c r="C271" s="1">
        <v>33</v>
      </c>
      <c r="D271" s="3" t="str">
        <f>IFERROR(VLOOKUP($C271,merchants!$A$1:$D$41,2,FALSE),"Merchant not found")</f>
        <v>Merchant_033</v>
      </c>
      <c r="E271" s="3" t="str">
        <f>IFERROR(VLOOKUP($C271,merchants!$A$1:$D$41,3,FALSE),"Merchant not found")</f>
        <v>bill_payment</v>
      </c>
      <c r="F271" s="3" t="str">
        <f>IFERROR(VLOOKUP($C271,merchants!$A$1:$D$41,4,FALSE),"Merchant not found")</f>
        <v>East</v>
      </c>
      <c r="G271" s="5">
        <v>46025.2201388889</v>
      </c>
      <c r="H271" s="1">
        <v>149</v>
      </c>
      <c r="I271" s="1" t="s">
        <v>52</v>
      </c>
      <c r="J271" s="1" t="s">
        <v>65</v>
      </c>
      <c r="K271" s="1">
        <v>18</v>
      </c>
      <c r="L271" s="6">
        <f>IFERROR(HLOOKUP($I271,Reference!$B$1:$E$2,2,FALSE),0)</f>
        <v>0</v>
      </c>
      <c r="M271" s="7">
        <f t="shared" si="0"/>
        <v>46025</v>
      </c>
      <c r="N271" s="3" t="str">
        <f t="shared" si="1"/>
        <v>Regular</v>
      </c>
    </row>
    <row r="272" customHeight="1" spans="1:14">
      <c r="A272" s="1" t="s">
        <v>325</v>
      </c>
      <c r="B272" s="1">
        <v>114</v>
      </c>
      <c r="C272" s="1">
        <v>29</v>
      </c>
      <c r="D272" s="3" t="str">
        <f>IFERROR(VLOOKUP($C272,merchants!$A$1:$D$41,2,FALSE),"Merchant not found")</f>
        <v>Merchant_029</v>
      </c>
      <c r="E272" s="3" t="str">
        <f>IFERROR(VLOOKUP($C272,merchants!$A$1:$D$41,3,FALSE),"Merchant not found")</f>
        <v>ecommerce</v>
      </c>
      <c r="F272" s="3" t="str">
        <f>IFERROR(VLOOKUP($C272,merchants!$A$1:$D$41,4,FALSE),"Merchant not found")</f>
        <v>North</v>
      </c>
      <c r="G272" s="5">
        <v>46049.5451388889</v>
      </c>
      <c r="H272" s="1">
        <v>799</v>
      </c>
      <c r="I272" s="1" t="s">
        <v>52</v>
      </c>
      <c r="J272" s="1" t="s">
        <v>78</v>
      </c>
      <c r="K272" s="1">
        <v>44</v>
      </c>
      <c r="L272" s="6">
        <f>IFERROR(HLOOKUP($I272,Reference!$B$1:$E$2,2,FALSE),0)</f>
        <v>0</v>
      </c>
      <c r="M272" s="7">
        <f t="shared" si="0"/>
        <v>46049</v>
      </c>
      <c r="N272" s="3" t="str">
        <f t="shared" si="1"/>
        <v>Regular</v>
      </c>
    </row>
    <row r="273" customHeight="1" spans="1:14">
      <c r="A273" s="1" t="s">
        <v>326</v>
      </c>
      <c r="B273" s="1">
        <v>28</v>
      </c>
      <c r="C273" s="1">
        <v>26</v>
      </c>
      <c r="D273" s="3" t="str">
        <f>IFERROR(VLOOKUP($C273,merchants!$A$1:$D$41,2,FALSE),"Merchant not found")</f>
        <v>Merchant_026</v>
      </c>
      <c r="E273" s="3" t="str">
        <f>IFERROR(VLOOKUP($C273,merchants!$A$1:$D$41,3,FALSE),"Merchant not found")</f>
        <v>food_delivery</v>
      </c>
      <c r="F273" s="3" t="str">
        <f>IFERROR(VLOOKUP($C273,merchants!$A$1:$D$41,4,FALSE),"Merchant not found")</f>
        <v>East</v>
      </c>
      <c r="G273" s="5">
        <v>46052.0180555556</v>
      </c>
      <c r="H273" s="1">
        <v>1499</v>
      </c>
      <c r="I273" s="1" t="s">
        <v>52</v>
      </c>
      <c r="J273" s="1" t="s">
        <v>65</v>
      </c>
      <c r="K273" s="1">
        <v>64</v>
      </c>
      <c r="L273" s="6">
        <f>IFERROR(HLOOKUP($I273,Reference!$B$1:$E$2,2,FALSE),0)</f>
        <v>0</v>
      </c>
      <c r="M273" s="7">
        <f t="shared" si="0"/>
        <v>46052</v>
      </c>
      <c r="N273" s="3" t="str">
        <f t="shared" si="1"/>
        <v>Regular</v>
      </c>
    </row>
    <row r="274" customHeight="1" spans="1:14">
      <c r="A274" s="1" t="s">
        <v>327</v>
      </c>
      <c r="B274" s="1">
        <v>42</v>
      </c>
      <c r="C274" s="1">
        <v>24</v>
      </c>
      <c r="D274" s="3" t="str">
        <f>IFERROR(VLOOKUP($C274,merchants!$A$1:$D$41,2,FALSE),"Merchant not found")</f>
        <v>Merchant_024</v>
      </c>
      <c r="E274" s="3" t="str">
        <f>IFERROR(VLOOKUP($C274,merchants!$A$1:$D$41,3,FALSE),"Merchant not found")</f>
        <v>grocery</v>
      </c>
      <c r="F274" s="3" t="str">
        <f>IFERROR(VLOOKUP($C274,merchants!$A$1:$D$41,4,FALSE),"Merchant not found")</f>
        <v>North</v>
      </c>
      <c r="G274" s="5">
        <v>46034.3083333333</v>
      </c>
      <c r="H274" s="1">
        <v>149</v>
      </c>
      <c r="I274" s="1" t="s">
        <v>52</v>
      </c>
      <c r="J274" s="1" t="s">
        <v>50</v>
      </c>
      <c r="K274" s="1">
        <v>28</v>
      </c>
      <c r="L274" s="6">
        <f>IFERROR(HLOOKUP($I274,Reference!$B$1:$E$2,2,FALSE),0)</f>
        <v>0</v>
      </c>
      <c r="M274" s="7">
        <f t="shared" si="0"/>
        <v>46034</v>
      </c>
      <c r="N274" s="3" t="str">
        <f t="shared" si="1"/>
        <v>Regular</v>
      </c>
    </row>
    <row r="275" customHeight="1" spans="1:14">
      <c r="A275" s="1" t="s">
        <v>328</v>
      </c>
      <c r="B275" s="1">
        <v>51</v>
      </c>
      <c r="C275" s="1">
        <v>22</v>
      </c>
      <c r="D275" s="3" t="str">
        <f>IFERROR(VLOOKUP($C275,merchants!$A$1:$D$41,2,FALSE),"Merchant not found")</f>
        <v>Merchant_022</v>
      </c>
      <c r="E275" s="3" t="str">
        <f>IFERROR(VLOOKUP($C275,merchants!$A$1:$D$41,3,FALSE),"Merchant not found")</f>
        <v>travel</v>
      </c>
      <c r="F275" s="3" t="str">
        <f>IFERROR(VLOOKUP($C275,merchants!$A$1:$D$41,4,FALSE),"Merchant not found")</f>
        <v>South</v>
      </c>
      <c r="G275" s="5">
        <v>46023.4576388889</v>
      </c>
      <c r="H275" s="1">
        <v>799</v>
      </c>
      <c r="I275" s="1" t="s">
        <v>52</v>
      </c>
      <c r="J275" s="1" t="s">
        <v>50</v>
      </c>
      <c r="K275" s="1">
        <v>18</v>
      </c>
      <c r="L275" s="6">
        <f>IFERROR(HLOOKUP($I275,Reference!$B$1:$E$2,2,FALSE),0)</f>
        <v>0</v>
      </c>
      <c r="M275" s="7">
        <f t="shared" si="0"/>
        <v>46023</v>
      </c>
      <c r="N275" s="3" t="str">
        <f t="shared" si="1"/>
        <v>Regular</v>
      </c>
    </row>
    <row r="276" customHeight="1" spans="1:14">
      <c r="A276" s="1" t="s">
        <v>329</v>
      </c>
      <c r="B276" s="1">
        <v>242</v>
      </c>
      <c r="C276" s="1">
        <v>9</v>
      </c>
      <c r="D276" s="3" t="str">
        <f>IFERROR(VLOOKUP($C276,merchants!$A$1:$D$41,2,FALSE),"Merchant not found")</f>
        <v>Merchant_009</v>
      </c>
      <c r="E276" s="3" t="str">
        <f>IFERROR(VLOOKUP($C276,merchants!$A$1:$D$41,3,FALSE),"Merchant not found")</f>
        <v>ecommerce</v>
      </c>
      <c r="F276" s="3" t="str">
        <f>IFERROR(VLOOKUP($C276,merchants!$A$1:$D$41,4,FALSE),"Merchant not found")</f>
        <v>North</v>
      </c>
      <c r="G276" s="5">
        <v>46027.0541666667</v>
      </c>
      <c r="H276" s="1">
        <v>149</v>
      </c>
      <c r="I276" s="1" t="s">
        <v>52</v>
      </c>
      <c r="J276" s="1" t="s">
        <v>50</v>
      </c>
      <c r="K276" s="1">
        <v>97</v>
      </c>
      <c r="L276" s="6">
        <f>IFERROR(HLOOKUP($I276,Reference!$B$1:$E$2,2,FALSE),0)</f>
        <v>0</v>
      </c>
      <c r="M276" s="7">
        <f t="shared" si="0"/>
        <v>46027</v>
      </c>
      <c r="N276" s="3" t="str">
        <f t="shared" si="1"/>
        <v>Regular</v>
      </c>
    </row>
    <row r="277" customHeight="1" spans="1:14">
      <c r="A277" s="1" t="s">
        <v>330</v>
      </c>
      <c r="B277" s="1">
        <v>316</v>
      </c>
      <c r="C277" s="1">
        <v>1</v>
      </c>
      <c r="D277" s="3" t="str">
        <f>IFERROR(VLOOKUP($C277,merchants!$A$1:$D$41,2,FALSE),"Merchant not found")</f>
        <v>Merchant_001</v>
      </c>
      <c r="E277" s="3" t="str">
        <f>IFERROR(VLOOKUP($C277,merchants!$A$1:$D$41,3,FALSE),"Merchant not found")</f>
        <v>ecommerce</v>
      </c>
      <c r="F277" s="3" t="str">
        <f>IFERROR(VLOOKUP($C277,merchants!$A$1:$D$41,4,FALSE),"Merchant not found")</f>
        <v>South</v>
      </c>
      <c r="G277" s="5">
        <v>46045.6444444444</v>
      </c>
      <c r="H277" s="1">
        <v>149</v>
      </c>
      <c r="I277" s="1" t="s">
        <v>52</v>
      </c>
      <c r="J277" s="1" t="s">
        <v>50</v>
      </c>
      <c r="K277" s="1">
        <v>10</v>
      </c>
      <c r="L277" s="6">
        <f>IFERROR(HLOOKUP($I277,Reference!$B$1:$E$2,2,FALSE),0)</f>
        <v>0</v>
      </c>
      <c r="M277" s="7">
        <f t="shared" si="0"/>
        <v>46045</v>
      </c>
      <c r="N277" s="3" t="str">
        <f t="shared" si="1"/>
        <v>Regular</v>
      </c>
    </row>
    <row r="278" customHeight="1" spans="1:14">
      <c r="A278" s="1" t="s">
        <v>331</v>
      </c>
      <c r="B278" s="1">
        <v>77</v>
      </c>
      <c r="C278" s="1">
        <v>36</v>
      </c>
      <c r="D278" s="3" t="str">
        <f>IFERROR(VLOOKUP($C278,merchants!$A$1:$D$41,2,FALSE),"Merchant not found")</f>
        <v>Merchant_036</v>
      </c>
      <c r="E278" s="3" t="str">
        <f>IFERROR(VLOOKUP($C278,merchants!$A$1:$D$41,3,FALSE),"Merchant not found")</f>
        <v>entertainment</v>
      </c>
      <c r="F278" s="3" t="str">
        <f>IFERROR(VLOOKUP($C278,merchants!$A$1:$D$41,4,FALSE),"Merchant not found")</f>
        <v>East</v>
      </c>
      <c r="G278" s="5">
        <v>46023.3423611111</v>
      </c>
      <c r="H278" s="1">
        <v>149</v>
      </c>
      <c r="I278" s="1" t="s">
        <v>52</v>
      </c>
      <c r="J278" s="1" t="s">
        <v>50</v>
      </c>
      <c r="K278" s="1">
        <v>93</v>
      </c>
      <c r="L278" s="6">
        <f>IFERROR(HLOOKUP($I278,Reference!$B$1:$E$2,2,FALSE),0)</f>
        <v>0</v>
      </c>
      <c r="M278" s="7">
        <f t="shared" si="0"/>
        <v>46023</v>
      </c>
      <c r="N278" s="3" t="str">
        <f t="shared" si="1"/>
        <v>Regular</v>
      </c>
    </row>
    <row r="279" customHeight="1" spans="1:14">
      <c r="A279" s="1" t="s">
        <v>332</v>
      </c>
      <c r="B279" s="1">
        <v>57</v>
      </c>
      <c r="C279" s="1">
        <v>19</v>
      </c>
      <c r="D279" s="3" t="str">
        <f>IFERROR(VLOOKUP($C279,merchants!$A$1:$D$41,2,FALSE),"Merchant not found")</f>
        <v>Merchant_019</v>
      </c>
      <c r="E279" s="3" t="str">
        <f>IFERROR(VLOOKUP($C279,merchants!$A$1:$D$41,3,FALSE),"Merchant not found")</f>
        <v>grocery</v>
      </c>
      <c r="F279" s="3" t="str">
        <f>IFERROR(VLOOKUP($C279,merchants!$A$1:$D$41,4,FALSE),"Merchant not found")</f>
        <v>North</v>
      </c>
      <c r="G279" s="5">
        <v>46042.6854166667</v>
      </c>
      <c r="H279" s="1">
        <v>49</v>
      </c>
      <c r="I279" s="1" t="s">
        <v>52</v>
      </c>
      <c r="J279" s="1" t="s">
        <v>50</v>
      </c>
      <c r="K279" s="1">
        <v>30</v>
      </c>
      <c r="L279" s="6">
        <f>IFERROR(HLOOKUP($I279,Reference!$B$1:$E$2,2,FALSE),0)</f>
        <v>0</v>
      </c>
      <c r="M279" s="7">
        <f t="shared" si="0"/>
        <v>46042</v>
      </c>
      <c r="N279" s="3" t="str">
        <f t="shared" si="1"/>
        <v>Regular</v>
      </c>
    </row>
    <row r="280" customHeight="1" spans="1:14">
      <c r="A280" s="1" t="s">
        <v>333</v>
      </c>
      <c r="B280" s="1">
        <v>123</v>
      </c>
      <c r="C280" s="1">
        <v>27</v>
      </c>
      <c r="D280" s="3" t="str">
        <f>IFERROR(VLOOKUP($C280,merchants!$A$1:$D$41,2,FALSE),"Merchant not found")</f>
        <v>Merchant_027</v>
      </c>
      <c r="E280" s="3" t="str">
        <f>IFERROR(VLOOKUP($C280,merchants!$A$1:$D$41,3,FALSE),"Merchant not found")</f>
        <v>ecommerce</v>
      </c>
      <c r="F280" s="3" t="str">
        <f>IFERROR(VLOOKUP($C280,merchants!$A$1:$D$41,4,FALSE),"Merchant not found")</f>
        <v>North</v>
      </c>
      <c r="G280" s="5">
        <v>46032.1270833333</v>
      </c>
      <c r="H280" s="1">
        <v>149</v>
      </c>
      <c r="I280" s="1" t="s">
        <v>55</v>
      </c>
      <c r="J280" s="1" t="s">
        <v>50</v>
      </c>
      <c r="K280" s="1">
        <v>81</v>
      </c>
      <c r="L280" s="6">
        <f>IFERROR(HLOOKUP($I280,Reference!$B$1:$E$2,2,FALSE),0)</f>
        <v>0.01</v>
      </c>
      <c r="M280" s="7">
        <f t="shared" si="0"/>
        <v>46032</v>
      </c>
      <c r="N280" s="3" t="str">
        <f t="shared" si="1"/>
        <v>Regular</v>
      </c>
    </row>
    <row r="281" customHeight="1" spans="1:14">
      <c r="A281" s="1" t="s">
        <v>334</v>
      </c>
      <c r="B281" s="1">
        <v>33</v>
      </c>
      <c r="C281" s="1">
        <v>8</v>
      </c>
      <c r="D281" s="3" t="str">
        <f>IFERROR(VLOOKUP($C281,merchants!$A$1:$D$41,2,FALSE),"Merchant not found")</f>
        <v>Merchant_008</v>
      </c>
      <c r="E281" s="3" t="str">
        <f>IFERROR(VLOOKUP($C281,merchants!$A$1:$D$41,3,FALSE),"Merchant not found")</f>
        <v>food_delivery</v>
      </c>
      <c r="F281" s="3" t="str">
        <f>IFERROR(VLOOKUP($C281,merchants!$A$1:$D$41,4,FALSE),"Merchant not found")</f>
        <v>North</v>
      </c>
      <c r="G281" s="5">
        <v>46048.8118055556</v>
      </c>
      <c r="H281" s="1">
        <v>299</v>
      </c>
      <c r="I281" s="1" t="s">
        <v>49</v>
      </c>
      <c r="J281" s="1" t="s">
        <v>50</v>
      </c>
      <c r="K281" s="1">
        <v>63</v>
      </c>
      <c r="L281" s="6">
        <f>IFERROR(HLOOKUP($I281,Reference!$B$1:$E$2,2,FALSE),0)</f>
        <v>0.015</v>
      </c>
      <c r="M281" s="7">
        <f t="shared" si="0"/>
        <v>46048</v>
      </c>
      <c r="N281" s="3" t="str">
        <f t="shared" si="1"/>
        <v>Regular</v>
      </c>
    </row>
    <row r="282" customHeight="1" spans="1:14">
      <c r="A282" s="1" t="s">
        <v>335</v>
      </c>
      <c r="B282" s="1">
        <v>324</v>
      </c>
      <c r="C282" s="1">
        <v>33</v>
      </c>
      <c r="D282" s="3" t="str">
        <f>IFERROR(VLOOKUP($C282,merchants!$A$1:$D$41,2,FALSE),"Merchant not found")</f>
        <v>Merchant_033</v>
      </c>
      <c r="E282" s="3" t="str">
        <f>IFERROR(VLOOKUP($C282,merchants!$A$1:$D$41,3,FALSE),"Merchant not found")</f>
        <v>bill_payment</v>
      </c>
      <c r="F282" s="3" t="str">
        <f>IFERROR(VLOOKUP($C282,merchants!$A$1:$D$41,4,FALSE),"Merchant not found")</f>
        <v>East</v>
      </c>
      <c r="G282" s="5">
        <v>46042.7090277778</v>
      </c>
      <c r="H282" s="1">
        <v>499</v>
      </c>
      <c r="I282" s="1" t="s">
        <v>52</v>
      </c>
      <c r="J282" s="1" t="s">
        <v>50</v>
      </c>
      <c r="K282" s="1">
        <v>73</v>
      </c>
      <c r="L282" s="6">
        <f>IFERROR(HLOOKUP($I282,Reference!$B$1:$E$2,2,FALSE),0)</f>
        <v>0</v>
      </c>
      <c r="M282" s="7">
        <f t="shared" si="0"/>
        <v>46042</v>
      </c>
      <c r="N282" s="3" t="str">
        <f t="shared" si="1"/>
        <v>Regular</v>
      </c>
    </row>
    <row r="283" customHeight="1" spans="1:14">
      <c r="A283" s="1" t="s">
        <v>336</v>
      </c>
      <c r="B283" s="1">
        <v>150</v>
      </c>
      <c r="C283" s="1">
        <v>28</v>
      </c>
      <c r="D283" s="3" t="str">
        <f>IFERROR(VLOOKUP($C283,merchants!$A$1:$D$41,2,FALSE),"Merchant not found")</f>
        <v>Merchant_028</v>
      </c>
      <c r="E283" s="3" t="str">
        <f>IFERROR(VLOOKUP($C283,merchants!$A$1:$D$41,3,FALSE),"Merchant not found")</f>
        <v>ecommerce</v>
      </c>
      <c r="F283" s="3" t="str">
        <f>IFERROR(VLOOKUP($C283,merchants!$A$1:$D$41,4,FALSE),"Merchant not found")</f>
        <v>South</v>
      </c>
      <c r="G283" s="5">
        <v>46030.9229166667</v>
      </c>
      <c r="H283" s="1">
        <v>49</v>
      </c>
      <c r="I283" s="1" t="s">
        <v>52</v>
      </c>
      <c r="J283" s="1" t="s">
        <v>65</v>
      </c>
      <c r="K283" s="1">
        <v>0</v>
      </c>
      <c r="L283" s="6">
        <f>IFERROR(HLOOKUP($I283,Reference!$B$1:$E$2,2,FALSE),0)</f>
        <v>0</v>
      </c>
      <c r="M283" s="7">
        <f t="shared" si="0"/>
        <v>46030</v>
      </c>
      <c r="N283" s="3" t="str">
        <f t="shared" si="1"/>
        <v>Regular</v>
      </c>
    </row>
    <row r="284" customHeight="1" spans="1:14">
      <c r="A284" s="1" t="s">
        <v>337</v>
      </c>
      <c r="B284" s="1">
        <v>293</v>
      </c>
      <c r="C284" s="1">
        <v>27</v>
      </c>
      <c r="D284" s="3" t="str">
        <f>IFERROR(VLOOKUP($C284,merchants!$A$1:$D$41,2,FALSE),"Merchant not found")</f>
        <v>Merchant_027</v>
      </c>
      <c r="E284" s="3" t="str">
        <f>IFERROR(VLOOKUP($C284,merchants!$A$1:$D$41,3,FALSE),"Merchant not found")</f>
        <v>ecommerce</v>
      </c>
      <c r="F284" s="3" t="str">
        <f>IFERROR(VLOOKUP($C284,merchants!$A$1:$D$41,4,FALSE),"Merchant not found")</f>
        <v>North</v>
      </c>
      <c r="G284" s="5">
        <v>46042.46875</v>
      </c>
      <c r="H284" s="1">
        <v>4999</v>
      </c>
      <c r="I284" s="1" t="s">
        <v>52</v>
      </c>
      <c r="J284" s="1" t="s">
        <v>50</v>
      </c>
      <c r="K284" s="1">
        <v>23</v>
      </c>
      <c r="L284" s="6">
        <f>IFERROR(HLOOKUP($I284,Reference!$B$1:$E$2,2,FALSE),0)</f>
        <v>0</v>
      </c>
      <c r="M284" s="7">
        <f t="shared" si="0"/>
        <v>46042</v>
      </c>
      <c r="N284" s="3" t="str">
        <f t="shared" si="1"/>
        <v>Regular</v>
      </c>
    </row>
    <row r="285" customHeight="1" spans="1:14">
      <c r="A285" s="1" t="s">
        <v>338</v>
      </c>
      <c r="B285" s="1">
        <v>269</v>
      </c>
      <c r="C285" s="1">
        <v>24</v>
      </c>
      <c r="D285" s="3" t="str">
        <f>IFERROR(VLOOKUP($C285,merchants!$A$1:$D$41,2,FALSE),"Merchant not found")</f>
        <v>Merchant_024</v>
      </c>
      <c r="E285" s="3" t="str">
        <f>IFERROR(VLOOKUP($C285,merchants!$A$1:$D$41,3,FALSE),"Merchant not found")</f>
        <v>grocery</v>
      </c>
      <c r="F285" s="3" t="str">
        <f>IFERROR(VLOOKUP($C285,merchants!$A$1:$D$41,4,FALSE),"Merchant not found")</f>
        <v>North</v>
      </c>
      <c r="G285" s="5">
        <v>46044.8784722222</v>
      </c>
      <c r="H285" s="1">
        <v>49</v>
      </c>
      <c r="I285" s="1" t="s">
        <v>49</v>
      </c>
      <c r="J285" s="1" t="s">
        <v>50</v>
      </c>
      <c r="K285" s="1">
        <v>8</v>
      </c>
      <c r="L285" s="6">
        <f>IFERROR(HLOOKUP($I285,Reference!$B$1:$E$2,2,FALSE),0)</f>
        <v>0.015</v>
      </c>
      <c r="M285" s="7">
        <f t="shared" si="0"/>
        <v>46044</v>
      </c>
      <c r="N285" s="3" t="str">
        <f t="shared" si="1"/>
        <v>Regular</v>
      </c>
    </row>
    <row r="286" customHeight="1" spans="1:14">
      <c r="A286" s="1" t="s">
        <v>339</v>
      </c>
      <c r="B286" s="1">
        <v>260</v>
      </c>
      <c r="C286" s="1">
        <v>36</v>
      </c>
      <c r="D286" s="3" t="str">
        <f>IFERROR(VLOOKUP($C286,merchants!$A$1:$D$41,2,FALSE),"Merchant not found")</f>
        <v>Merchant_036</v>
      </c>
      <c r="E286" s="3" t="str">
        <f>IFERROR(VLOOKUP($C286,merchants!$A$1:$D$41,3,FALSE),"Merchant not found")</f>
        <v>entertainment</v>
      </c>
      <c r="F286" s="3" t="str">
        <f>IFERROR(VLOOKUP($C286,merchants!$A$1:$D$41,4,FALSE),"Merchant not found")</f>
        <v>East</v>
      </c>
      <c r="G286" s="5">
        <v>46039.7305555556</v>
      </c>
      <c r="H286" s="1">
        <v>1499</v>
      </c>
      <c r="I286" s="1" t="s">
        <v>52</v>
      </c>
      <c r="J286" s="1" t="s">
        <v>50</v>
      </c>
      <c r="K286" s="1">
        <v>2</v>
      </c>
      <c r="L286" s="6">
        <f>IFERROR(HLOOKUP($I286,Reference!$B$1:$E$2,2,FALSE),0)</f>
        <v>0</v>
      </c>
      <c r="M286" s="7">
        <f t="shared" si="0"/>
        <v>46039</v>
      </c>
      <c r="N286" s="3" t="str">
        <f t="shared" si="1"/>
        <v>Regular</v>
      </c>
    </row>
    <row r="287" customHeight="1" spans="1:14">
      <c r="A287" s="1" t="s">
        <v>340</v>
      </c>
      <c r="B287" s="1">
        <v>326</v>
      </c>
      <c r="C287" s="1">
        <v>25</v>
      </c>
      <c r="D287" s="3" t="str">
        <f>IFERROR(VLOOKUP($C287,merchants!$A$1:$D$41,2,FALSE),"Merchant not found")</f>
        <v>Merchant_025</v>
      </c>
      <c r="E287" s="3" t="str">
        <f>IFERROR(VLOOKUP($C287,merchants!$A$1:$D$41,3,FALSE),"Merchant not found")</f>
        <v>travel</v>
      </c>
      <c r="F287" s="3" t="str">
        <f>IFERROR(VLOOKUP($C287,merchants!$A$1:$D$41,4,FALSE),"Merchant not found")</f>
        <v>South</v>
      </c>
      <c r="G287" s="5">
        <v>46035.6263888889</v>
      </c>
      <c r="H287" s="1">
        <v>49</v>
      </c>
      <c r="I287" s="1" t="s">
        <v>52</v>
      </c>
      <c r="J287" s="1" t="s">
        <v>50</v>
      </c>
      <c r="K287" s="1">
        <v>47</v>
      </c>
      <c r="L287" s="6">
        <f>IFERROR(HLOOKUP($I287,Reference!$B$1:$E$2,2,FALSE),0)</f>
        <v>0</v>
      </c>
      <c r="M287" s="7">
        <f t="shared" si="0"/>
        <v>46035</v>
      </c>
      <c r="N287" s="3" t="str">
        <f t="shared" si="1"/>
        <v>Regular</v>
      </c>
    </row>
    <row r="288" customHeight="1" spans="1:14">
      <c r="A288" s="1" t="s">
        <v>341</v>
      </c>
      <c r="B288" s="1">
        <v>183</v>
      </c>
      <c r="C288" s="1">
        <v>5</v>
      </c>
      <c r="D288" s="3" t="str">
        <f>IFERROR(VLOOKUP($C288,merchants!$A$1:$D$41,2,FALSE),"Merchant not found")</f>
        <v>Merchant_005</v>
      </c>
      <c r="E288" s="3" t="str">
        <f>IFERROR(VLOOKUP($C288,merchants!$A$1:$D$41,3,FALSE),"Merchant not found")</f>
        <v>recharge</v>
      </c>
      <c r="F288" s="3" t="str">
        <f>IFERROR(VLOOKUP($C288,merchants!$A$1:$D$41,4,FALSE),"Merchant not found")</f>
        <v>South</v>
      </c>
      <c r="G288" s="5">
        <v>46031.9590277778</v>
      </c>
      <c r="H288" s="1">
        <v>49</v>
      </c>
      <c r="I288" s="1" t="s">
        <v>64</v>
      </c>
      <c r="J288" s="1" t="s">
        <v>50</v>
      </c>
      <c r="K288" s="1">
        <v>44</v>
      </c>
      <c r="L288" s="6">
        <f>IFERROR(HLOOKUP($I288,Reference!$B$1:$E$2,2,FALSE),0)</f>
        <v>0.02</v>
      </c>
      <c r="M288" s="7">
        <f t="shared" si="0"/>
        <v>46031</v>
      </c>
      <c r="N288" s="3" t="str">
        <f t="shared" si="1"/>
        <v>Regular</v>
      </c>
    </row>
    <row r="289" customHeight="1" spans="1:14">
      <c r="A289" s="1" t="s">
        <v>342</v>
      </c>
      <c r="B289" s="1">
        <v>322</v>
      </c>
      <c r="C289" s="1">
        <v>7</v>
      </c>
      <c r="D289" s="3" t="str">
        <f>IFERROR(VLOOKUP($C289,merchants!$A$1:$D$41,2,FALSE),"Merchant not found")</f>
        <v>Merchant_007</v>
      </c>
      <c r="E289" s="3" t="str">
        <f>IFERROR(VLOOKUP($C289,merchants!$A$1:$D$41,3,FALSE),"Merchant not found")</f>
        <v>food_delivery</v>
      </c>
      <c r="F289" s="3" t="str">
        <f>IFERROR(VLOOKUP($C289,merchants!$A$1:$D$41,4,FALSE),"Merchant not found")</f>
        <v>East</v>
      </c>
      <c r="G289" s="5">
        <v>46030.9875</v>
      </c>
      <c r="H289" s="1">
        <v>299</v>
      </c>
      <c r="I289" s="1" t="s">
        <v>52</v>
      </c>
      <c r="J289" s="1" t="s">
        <v>50</v>
      </c>
      <c r="K289" s="1">
        <v>98</v>
      </c>
      <c r="L289" s="6">
        <f>IFERROR(HLOOKUP($I289,Reference!$B$1:$E$2,2,FALSE),0)</f>
        <v>0</v>
      </c>
      <c r="M289" s="7">
        <f t="shared" si="0"/>
        <v>46030</v>
      </c>
      <c r="N289" s="3" t="str">
        <f t="shared" si="1"/>
        <v>Regular</v>
      </c>
    </row>
    <row r="290" customHeight="1" spans="1:14">
      <c r="A290" s="1" t="s">
        <v>343</v>
      </c>
      <c r="B290" s="1">
        <v>171</v>
      </c>
      <c r="C290" s="1">
        <v>9</v>
      </c>
      <c r="D290" s="3" t="str">
        <f>IFERROR(VLOOKUP($C290,merchants!$A$1:$D$41,2,FALSE),"Merchant not found")</f>
        <v>Merchant_009</v>
      </c>
      <c r="E290" s="3" t="str">
        <f>IFERROR(VLOOKUP($C290,merchants!$A$1:$D$41,3,FALSE),"Merchant not found")</f>
        <v>ecommerce</v>
      </c>
      <c r="F290" s="3" t="str">
        <f>IFERROR(VLOOKUP($C290,merchants!$A$1:$D$41,4,FALSE),"Merchant not found")</f>
        <v>North</v>
      </c>
      <c r="G290" s="5">
        <v>46041.9916666667</v>
      </c>
      <c r="H290" s="1">
        <v>299</v>
      </c>
      <c r="I290" s="1" t="s">
        <v>52</v>
      </c>
      <c r="J290" s="1" t="s">
        <v>50</v>
      </c>
      <c r="K290" s="1">
        <v>5</v>
      </c>
      <c r="L290" s="6">
        <f>IFERROR(HLOOKUP($I290,Reference!$B$1:$E$2,2,FALSE),0)</f>
        <v>0</v>
      </c>
      <c r="M290" s="7">
        <f t="shared" si="0"/>
        <v>46041</v>
      </c>
      <c r="N290" s="3" t="str">
        <f t="shared" si="1"/>
        <v>Regular</v>
      </c>
    </row>
    <row r="291" customHeight="1" spans="1:14">
      <c r="A291" s="1" t="s">
        <v>344</v>
      </c>
      <c r="B291" s="1">
        <v>330</v>
      </c>
      <c r="C291" s="1">
        <v>12</v>
      </c>
      <c r="D291" s="3" t="str">
        <f>IFERROR(VLOOKUP($C291,merchants!$A$1:$D$41,2,FALSE),"Merchant not found")</f>
        <v>Merchant_012</v>
      </c>
      <c r="E291" s="3" t="str">
        <f>IFERROR(VLOOKUP($C291,merchants!$A$1:$D$41,3,FALSE),"Merchant not found")</f>
        <v>ecommerce</v>
      </c>
      <c r="F291" s="3" t="str">
        <f>IFERROR(VLOOKUP($C291,merchants!$A$1:$D$41,4,FALSE),"Merchant not found")</f>
        <v>East</v>
      </c>
      <c r="G291" s="5">
        <v>46034.7229166667</v>
      </c>
      <c r="H291" s="1">
        <v>1499</v>
      </c>
      <c r="I291" s="1" t="s">
        <v>55</v>
      </c>
      <c r="J291" s="1" t="s">
        <v>50</v>
      </c>
      <c r="K291" s="1">
        <v>99</v>
      </c>
      <c r="L291" s="6">
        <f>IFERROR(HLOOKUP($I291,Reference!$B$1:$E$2,2,FALSE),0)</f>
        <v>0.01</v>
      </c>
      <c r="M291" s="7">
        <f t="shared" si="0"/>
        <v>46034</v>
      </c>
      <c r="N291" s="3" t="str">
        <f t="shared" si="1"/>
        <v>Regular</v>
      </c>
    </row>
    <row r="292" customHeight="1" spans="1:14">
      <c r="A292" s="1" t="s">
        <v>345</v>
      </c>
      <c r="B292" s="1">
        <v>246</v>
      </c>
      <c r="C292" s="1">
        <v>12</v>
      </c>
      <c r="D292" s="3" t="str">
        <f>IFERROR(VLOOKUP($C292,merchants!$A$1:$D$41,2,FALSE),"Merchant not found")</f>
        <v>Merchant_012</v>
      </c>
      <c r="E292" s="3" t="str">
        <f>IFERROR(VLOOKUP($C292,merchants!$A$1:$D$41,3,FALSE),"Merchant not found")</f>
        <v>ecommerce</v>
      </c>
      <c r="F292" s="3" t="str">
        <f>IFERROR(VLOOKUP($C292,merchants!$A$1:$D$41,4,FALSE),"Merchant not found")</f>
        <v>East</v>
      </c>
      <c r="G292" s="5">
        <v>46044.6138888889</v>
      </c>
      <c r="H292" s="1">
        <v>99</v>
      </c>
      <c r="I292" s="1" t="s">
        <v>49</v>
      </c>
      <c r="J292" s="1" t="s">
        <v>50</v>
      </c>
      <c r="K292" s="1">
        <v>17</v>
      </c>
      <c r="L292" s="6">
        <f>IFERROR(HLOOKUP($I292,Reference!$B$1:$E$2,2,FALSE),0)</f>
        <v>0.015</v>
      </c>
      <c r="M292" s="7">
        <f t="shared" si="0"/>
        <v>46044</v>
      </c>
      <c r="N292" s="3" t="str">
        <f t="shared" si="1"/>
        <v>Regular</v>
      </c>
    </row>
    <row r="293" customHeight="1" spans="1:14">
      <c r="A293" s="1" t="s">
        <v>346</v>
      </c>
      <c r="B293" s="1">
        <v>235</v>
      </c>
      <c r="C293" s="1">
        <v>3</v>
      </c>
      <c r="D293" s="3" t="str">
        <f>IFERROR(VLOOKUP($C293,merchants!$A$1:$D$41,2,FALSE),"Merchant not found")</f>
        <v>Merchant_003</v>
      </c>
      <c r="E293" s="3" t="str">
        <f>IFERROR(VLOOKUP($C293,merchants!$A$1:$D$41,3,FALSE),"Merchant not found")</f>
        <v>grocery</v>
      </c>
      <c r="F293" s="3" t="str">
        <f>IFERROR(VLOOKUP($C293,merchants!$A$1:$D$41,4,FALSE),"Merchant not found")</f>
        <v>East</v>
      </c>
      <c r="G293" s="5">
        <v>46025.9506944444</v>
      </c>
      <c r="H293" s="1">
        <v>49</v>
      </c>
      <c r="I293" s="1" t="s">
        <v>52</v>
      </c>
      <c r="J293" s="1" t="s">
        <v>50</v>
      </c>
      <c r="K293" s="1">
        <v>37</v>
      </c>
      <c r="L293" s="6">
        <f>IFERROR(HLOOKUP($I293,Reference!$B$1:$E$2,2,FALSE),0)</f>
        <v>0</v>
      </c>
      <c r="M293" s="7">
        <f t="shared" si="0"/>
        <v>46025</v>
      </c>
      <c r="N293" s="3" t="str">
        <f t="shared" si="1"/>
        <v>Regular</v>
      </c>
    </row>
    <row r="294" customHeight="1" spans="1:14">
      <c r="A294" s="1" t="s">
        <v>347</v>
      </c>
      <c r="B294" s="1">
        <v>103</v>
      </c>
      <c r="C294" s="1">
        <v>3</v>
      </c>
      <c r="D294" s="3" t="str">
        <f>IFERROR(VLOOKUP($C294,merchants!$A$1:$D$41,2,FALSE),"Merchant not found")</f>
        <v>Merchant_003</v>
      </c>
      <c r="E294" s="3" t="str">
        <f>IFERROR(VLOOKUP($C294,merchants!$A$1:$D$41,3,FALSE),"Merchant not found")</f>
        <v>grocery</v>
      </c>
      <c r="F294" s="3" t="str">
        <f>IFERROR(VLOOKUP($C294,merchants!$A$1:$D$41,4,FALSE),"Merchant not found")</f>
        <v>East</v>
      </c>
      <c r="G294" s="5">
        <v>46029.0763888889</v>
      </c>
      <c r="H294" s="1">
        <v>499</v>
      </c>
      <c r="I294" s="1" t="s">
        <v>52</v>
      </c>
      <c r="J294" s="1" t="s">
        <v>50</v>
      </c>
      <c r="K294" s="1">
        <v>40</v>
      </c>
      <c r="L294" s="6">
        <f>IFERROR(HLOOKUP($I294,Reference!$B$1:$E$2,2,FALSE),0)</f>
        <v>0</v>
      </c>
      <c r="M294" s="7">
        <f t="shared" si="0"/>
        <v>46029</v>
      </c>
      <c r="N294" s="3" t="str">
        <f t="shared" si="1"/>
        <v>Regular</v>
      </c>
    </row>
    <row r="295" customHeight="1" spans="1:14">
      <c r="A295" s="1" t="s">
        <v>348</v>
      </c>
      <c r="B295" s="1">
        <v>204</v>
      </c>
      <c r="C295" s="1">
        <v>35</v>
      </c>
      <c r="D295" s="3" t="str">
        <f>IFERROR(VLOOKUP($C295,merchants!$A$1:$D$41,2,FALSE),"Merchant not found")</f>
        <v>Merchant_035</v>
      </c>
      <c r="E295" s="3" t="str">
        <f>IFERROR(VLOOKUP($C295,merchants!$A$1:$D$41,3,FALSE),"Merchant not found")</f>
        <v>recharge</v>
      </c>
      <c r="F295" s="3" t="str">
        <f>IFERROR(VLOOKUP($C295,merchants!$A$1:$D$41,4,FALSE),"Merchant not found")</f>
        <v>East</v>
      </c>
      <c r="G295" s="5">
        <v>46052.3972222222</v>
      </c>
      <c r="H295" s="1">
        <v>99</v>
      </c>
      <c r="I295" s="1" t="s">
        <v>49</v>
      </c>
      <c r="J295" s="1" t="s">
        <v>50</v>
      </c>
      <c r="K295" s="1">
        <v>60</v>
      </c>
      <c r="L295" s="6">
        <f>IFERROR(HLOOKUP($I295,Reference!$B$1:$E$2,2,FALSE),0)</f>
        <v>0.015</v>
      </c>
      <c r="M295" s="7">
        <f t="shared" si="0"/>
        <v>46052</v>
      </c>
      <c r="N295" s="3" t="str">
        <f t="shared" si="1"/>
        <v>Regular</v>
      </c>
    </row>
    <row r="296" customHeight="1" spans="1:14">
      <c r="A296" s="1" t="s">
        <v>349</v>
      </c>
      <c r="B296" s="1">
        <v>332</v>
      </c>
      <c r="C296" s="1">
        <v>13</v>
      </c>
      <c r="D296" s="3" t="str">
        <f>IFERROR(VLOOKUP($C296,merchants!$A$1:$D$41,2,FALSE),"Merchant not found")</f>
        <v>Merchant_013</v>
      </c>
      <c r="E296" s="3" t="str">
        <f>IFERROR(VLOOKUP($C296,merchants!$A$1:$D$41,3,FALSE),"Merchant not found")</f>
        <v>travel</v>
      </c>
      <c r="F296" s="3" t="str">
        <f>IFERROR(VLOOKUP($C296,merchants!$A$1:$D$41,4,FALSE),"Merchant not found")</f>
        <v>East</v>
      </c>
      <c r="G296" s="5">
        <v>46031.075</v>
      </c>
      <c r="H296" s="1">
        <v>49</v>
      </c>
      <c r="I296" s="1" t="s">
        <v>64</v>
      </c>
      <c r="J296" s="1" t="s">
        <v>50</v>
      </c>
      <c r="K296" s="1">
        <v>36</v>
      </c>
      <c r="L296" s="6">
        <f>IFERROR(HLOOKUP($I296,Reference!$B$1:$E$2,2,FALSE),0)</f>
        <v>0.02</v>
      </c>
      <c r="M296" s="7">
        <f t="shared" si="0"/>
        <v>46031</v>
      </c>
      <c r="N296" s="3" t="str">
        <f t="shared" si="1"/>
        <v>Regular</v>
      </c>
    </row>
    <row r="297" customHeight="1" spans="1:14">
      <c r="A297" s="1" t="s">
        <v>350</v>
      </c>
      <c r="B297" s="1">
        <v>336</v>
      </c>
      <c r="C297" s="1">
        <v>22</v>
      </c>
      <c r="D297" s="3" t="str">
        <f>IFERROR(VLOOKUP($C297,merchants!$A$1:$D$41,2,FALSE),"Merchant not found")</f>
        <v>Merchant_022</v>
      </c>
      <c r="E297" s="3" t="str">
        <f>IFERROR(VLOOKUP($C297,merchants!$A$1:$D$41,3,FALSE),"Merchant not found")</f>
        <v>travel</v>
      </c>
      <c r="F297" s="3" t="str">
        <f>IFERROR(VLOOKUP($C297,merchants!$A$1:$D$41,4,FALSE),"Merchant not found")</f>
        <v>South</v>
      </c>
      <c r="G297" s="5">
        <v>46034.0798611111</v>
      </c>
      <c r="H297" s="1">
        <v>499</v>
      </c>
      <c r="I297" s="1" t="s">
        <v>52</v>
      </c>
      <c r="J297" s="1" t="s">
        <v>50</v>
      </c>
      <c r="K297" s="1">
        <v>34</v>
      </c>
      <c r="L297" s="6">
        <f>IFERROR(HLOOKUP($I297,Reference!$B$1:$E$2,2,FALSE),0)</f>
        <v>0</v>
      </c>
      <c r="M297" s="7">
        <f t="shared" si="0"/>
        <v>46034</v>
      </c>
      <c r="N297" s="3" t="str">
        <f t="shared" si="1"/>
        <v>Regular</v>
      </c>
    </row>
    <row r="298" customHeight="1" spans="1:14">
      <c r="A298" s="1" t="s">
        <v>351</v>
      </c>
      <c r="B298" s="1">
        <v>205</v>
      </c>
      <c r="C298" s="1">
        <v>29</v>
      </c>
      <c r="D298" s="3" t="str">
        <f>IFERROR(VLOOKUP($C298,merchants!$A$1:$D$41,2,FALSE),"Merchant not found")</f>
        <v>Merchant_029</v>
      </c>
      <c r="E298" s="3" t="str">
        <f>IFERROR(VLOOKUP($C298,merchants!$A$1:$D$41,3,FALSE),"Merchant not found")</f>
        <v>ecommerce</v>
      </c>
      <c r="F298" s="3" t="str">
        <f>IFERROR(VLOOKUP($C298,merchants!$A$1:$D$41,4,FALSE),"Merchant not found")</f>
        <v>North</v>
      </c>
      <c r="G298" s="5">
        <v>46026.4770833333</v>
      </c>
      <c r="H298" s="1">
        <v>99</v>
      </c>
      <c r="I298" s="1" t="s">
        <v>49</v>
      </c>
      <c r="J298" s="1" t="s">
        <v>50</v>
      </c>
      <c r="K298" s="1">
        <v>49</v>
      </c>
      <c r="L298" s="6">
        <f>IFERROR(HLOOKUP($I298,Reference!$B$1:$E$2,2,FALSE),0)</f>
        <v>0.015</v>
      </c>
      <c r="M298" s="7">
        <f t="shared" si="0"/>
        <v>46026</v>
      </c>
      <c r="N298" s="3" t="str">
        <f t="shared" si="1"/>
        <v>Regular</v>
      </c>
    </row>
    <row r="299" customHeight="1" spans="1:14">
      <c r="A299" s="1" t="s">
        <v>352</v>
      </c>
      <c r="B299" s="1">
        <v>255</v>
      </c>
      <c r="C299" s="1">
        <v>24</v>
      </c>
      <c r="D299" s="3" t="str">
        <f>IFERROR(VLOOKUP($C299,merchants!$A$1:$D$41,2,FALSE),"Merchant not found")</f>
        <v>Merchant_024</v>
      </c>
      <c r="E299" s="3" t="str">
        <f>IFERROR(VLOOKUP($C299,merchants!$A$1:$D$41,3,FALSE),"Merchant not found")</f>
        <v>grocery</v>
      </c>
      <c r="F299" s="3" t="str">
        <f>IFERROR(VLOOKUP($C299,merchants!$A$1:$D$41,4,FALSE),"Merchant not found")</f>
        <v>North</v>
      </c>
      <c r="G299" s="5">
        <v>46033.2298611111</v>
      </c>
      <c r="H299" s="1">
        <v>799</v>
      </c>
      <c r="I299" s="1" t="s">
        <v>52</v>
      </c>
      <c r="J299" s="1" t="s">
        <v>50</v>
      </c>
      <c r="K299" s="1">
        <v>66</v>
      </c>
      <c r="L299" s="6">
        <f>IFERROR(HLOOKUP($I299,Reference!$B$1:$E$2,2,FALSE),0)</f>
        <v>0</v>
      </c>
      <c r="M299" s="7">
        <f t="shared" si="0"/>
        <v>46033</v>
      </c>
      <c r="N299" s="3" t="str">
        <f t="shared" si="1"/>
        <v>Regular</v>
      </c>
    </row>
    <row r="300" customHeight="1" spans="1:14">
      <c r="A300" s="1" t="s">
        <v>353</v>
      </c>
      <c r="B300" s="1">
        <v>218</v>
      </c>
      <c r="C300" s="1">
        <v>6</v>
      </c>
      <c r="D300" s="3" t="str">
        <f>IFERROR(VLOOKUP($C300,merchants!$A$1:$D$41,2,FALSE),"Merchant not found")</f>
        <v>Merchant_006</v>
      </c>
      <c r="E300" s="3" t="str">
        <f>IFERROR(VLOOKUP($C300,merchants!$A$1:$D$41,3,FALSE),"Merchant not found")</f>
        <v>food_delivery</v>
      </c>
      <c r="F300" s="3" t="str">
        <f>IFERROR(VLOOKUP($C300,merchants!$A$1:$D$41,4,FALSE),"Merchant not found")</f>
        <v>South</v>
      </c>
      <c r="G300" s="5">
        <v>46031.1152777778</v>
      </c>
      <c r="H300" s="1">
        <v>99</v>
      </c>
      <c r="I300" s="1" t="s">
        <v>52</v>
      </c>
      <c r="J300" s="1" t="s">
        <v>50</v>
      </c>
      <c r="K300" s="1">
        <v>55</v>
      </c>
      <c r="L300" s="6">
        <f>IFERROR(HLOOKUP($I300,Reference!$B$1:$E$2,2,FALSE),0)</f>
        <v>0</v>
      </c>
      <c r="M300" s="7">
        <f t="shared" si="0"/>
        <v>46031</v>
      </c>
      <c r="N300" s="3" t="str">
        <f t="shared" si="1"/>
        <v>Regular</v>
      </c>
    </row>
    <row r="301" customHeight="1" spans="1:14">
      <c r="A301" s="1" t="s">
        <v>354</v>
      </c>
      <c r="B301" s="1">
        <v>151</v>
      </c>
      <c r="C301" s="1">
        <v>21</v>
      </c>
      <c r="D301" s="3" t="str">
        <f>IFERROR(VLOOKUP($C301,merchants!$A$1:$D$41,2,FALSE),"Merchant not found")</f>
        <v>Merchant_021</v>
      </c>
      <c r="E301" s="3" t="str">
        <f>IFERROR(VLOOKUP($C301,merchants!$A$1:$D$41,3,FALSE),"Merchant not found")</f>
        <v>food_delivery</v>
      </c>
      <c r="F301" s="3" t="str">
        <f>IFERROR(VLOOKUP($C301,merchants!$A$1:$D$41,4,FALSE),"Merchant not found")</f>
        <v>East</v>
      </c>
      <c r="G301" s="5">
        <v>46042.2319444444</v>
      </c>
      <c r="H301" s="1">
        <v>49</v>
      </c>
      <c r="I301" s="1" t="s">
        <v>52</v>
      </c>
      <c r="J301" s="1" t="s">
        <v>50</v>
      </c>
      <c r="K301" s="1">
        <v>13</v>
      </c>
      <c r="L301" s="6">
        <f>IFERROR(HLOOKUP($I301,Reference!$B$1:$E$2,2,FALSE),0)</f>
        <v>0</v>
      </c>
      <c r="M301" s="7">
        <f t="shared" si="0"/>
        <v>46042</v>
      </c>
      <c r="N301" s="3" t="str">
        <f t="shared" si="1"/>
        <v>Regular</v>
      </c>
    </row>
    <row r="302" customHeight="1" spans="1:14">
      <c r="A302" s="1" t="s">
        <v>355</v>
      </c>
      <c r="B302" s="1">
        <v>152</v>
      </c>
      <c r="C302" s="1">
        <v>20</v>
      </c>
      <c r="D302" s="3" t="str">
        <f>IFERROR(VLOOKUP($C302,merchants!$A$1:$D$41,2,FALSE),"Merchant not found")</f>
        <v>Merchant_020</v>
      </c>
      <c r="E302" s="3" t="str">
        <f>IFERROR(VLOOKUP($C302,merchants!$A$1:$D$41,3,FALSE),"Merchant not found")</f>
        <v>food_delivery</v>
      </c>
      <c r="F302" s="3" t="str">
        <f>IFERROR(VLOOKUP($C302,merchants!$A$1:$D$41,4,FALSE),"Merchant not found")</f>
        <v>East</v>
      </c>
      <c r="G302" s="5">
        <v>46025.4458333333</v>
      </c>
      <c r="H302" s="1">
        <v>49</v>
      </c>
      <c r="I302" s="1" t="s">
        <v>52</v>
      </c>
      <c r="J302" s="1" t="s">
        <v>50</v>
      </c>
      <c r="K302" s="1">
        <v>57</v>
      </c>
      <c r="L302" s="6">
        <f>IFERROR(HLOOKUP($I302,Reference!$B$1:$E$2,2,FALSE),0)</f>
        <v>0</v>
      </c>
      <c r="M302" s="7">
        <f t="shared" si="0"/>
        <v>46025</v>
      </c>
      <c r="N302" s="3" t="str">
        <f t="shared" si="1"/>
        <v>Regular</v>
      </c>
    </row>
    <row r="303" customHeight="1" spans="1:14">
      <c r="A303" s="1" t="s">
        <v>356</v>
      </c>
      <c r="B303" s="1">
        <v>86</v>
      </c>
      <c r="C303" s="1">
        <v>29</v>
      </c>
      <c r="D303" s="3" t="str">
        <f>IFERROR(VLOOKUP($C303,merchants!$A$1:$D$41,2,FALSE),"Merchant not found")</f>
        <v>Merchant_029</v>
      </c>
      <c r="E303" s="3" t="str">
        <f>IFERROR(VLOOKUP($C303,merchants!$A$1:$D$41,3,FALSE),"Merchant not found")</f>
        <v>ecommerce</v>
      </c>
      <c r="F303" s="3" t="str">
        <f>IFERROR(VLOOKUP($C303,merchants!$A$1:$D$41,4,FALSE),"Merchant not found")</f>
        <v>North</v>
      </c>
      <c r="G303" s="5">
        <v>46042.9354166667</v>
      </c>
      <c r="H303" s="1">
        <v>149</v>
      </c>
      <c r="I303" s="1" t="s">
        <v>64</v>
      </c>
      <c r="J303" s="1" t="s">
        <v>50</v>
      </c>
      <c r="K303" s="1">
        <v>44</v>
      </c>
      <c r="L303" s="6">
        <f>IFERROR(HLOOKUP($I303,Reference!$B$1:$E$2,2,FALSE),0)</f>
        <v>0.02</v>
      </c>
      <c r="M303" s="7">
        <f t="shared" si="0"/>
        <v>46042</v>
      </c>
      <c r="N303" s="3" t="str">
        <f t="shared" si="1"/>
        <v>Regular</v>
      </c>
    </row>
    <row r="304" customHeight="1" spans="1:14">
      <c r="A304" s="1" t="s">
        <v>357</v>
      </c>
      <c r="B304" s="1">
        <v>181</v>
      </c>
      <c r="C304" s="1">
        <v>40</v>
      </c>
      <c r="D304" s="3" t="str">
        <f>IFERROR(VLOOKUP($C304,merchants!$A$1:$D$41,2,FALSE),"Merchant not found")</f>
        <v>Merchant_040</v>
      </c>
      <c r="E304" s="3" t="str">
        <f>IFERROR(VLOOKUP($C304,merchants!$A$1:$D$41,3,FALSE),"Merchant not found")</f>
        <v>entertainment</v>
      </c>
      <c r="F304" s="3" t="str">
        <f>IFERROR(VLOOKUP($C304,merchants!$A$1:$D$41,4,FALSE),"Merchant not found")</f>
        <v>South</v>
      </c>
      <c r="G304" s="5">
        <v>46037.0736111111</v>
      </c>
      <c r="H304" s="1">
        <v>149</v>
      </c>
      <c r="I304" s="1" t="s">
        <v>52</v>
      </c>
      <c r="J304" s="1" t="s">
        <v>50</v>
      </c>
      <c r="K304" s="1">
        <v>55</v>
      </c>
      <c r="L304" s="6">
        <f>IFERROR(HLOOKUP($I304,Reference!$B$1:$E$2,2,FALSE),0)</f>
        <v>0</v>
      </c>
      <c r="M304" s="7">
        <f t="shared" si="0"/>
        <v>46037</v>
      </c>
      <c r="N304" s="3" t="str">
        <f t="shared" si="1"/>
        <v>Regular</v>
      </c>
    </row>
    <row r="305" customHeight="1" spans="1:14">
      <c r="A305" s="1" t="s">
        <v>358</v>
      </c>
      <c r="B305" s="1">
        <v>30</v>
      </c>
      <c r="C305" s="1">
        <v>5</v>
      </c>
      <c r="D305" s="3" t="str">
        <f>IFERROR(VLOOKUP($C305,merchants!$A$1:$D$41,2,FALSE),"Merchant not found")</f>
        <v>Merchant_005</v>
      </c>
      <c r="E305" s="3" t="str">
        <f>IFERROR(VLOOKUP($C305,merchants!$A$1:$D$41,3,FALSE),"Merchant not found")</f>
        <v>recharge</v>
      </c>
      <c r="F305" s="3" t="str">
        <f>IFERROR(VLOOKUP($C305,merchants!$A$1:$D$41,4,FALSE),"Merchant not found")</f>
        <v>South</v>
      </c>
      <c r="G305" s="5">
        <v>46031.8680555556</v>
      </c>
      <c r="H305" s="1">
        <v>299</v>
      </c>
      <c r="I305" s="1" t="s">
        <v>52</v>
      </c>
      <c r="J305" s="1" t="s">
        <v>50</v>
      </c>
      <c r="K305" s="1">
        <v>85</v>
      </c>
      <c r="L305" s="6">
        <f>IFERROR(HLOOKUP($I305,Reference!$B$1:$E$2,2,FALSE),0)</f>
        <v>0</v>
      </c>
      <c r="M305" s="7">
        <f t="shared" si="0"/>
        <v>46031</v>
      </c>
      <c r="N305" s="3" t="str">
        <f t="shared" si="1"/>
        <v>Regular</v>
      </c>
    </row>
    <row r="306" customHeight="1" spans="1:14">
      <c r="A306" s="1" t="s">
        <v>359</v>
      </c>
      <c r="B306" s="1">
        <v>263</v>
      </c>
      <c r="C306" s="1">
        <v>11</v>
      </c>
      <c r="D306" s="3" t="str">
        <f>IFERROR(VLOOKUP($C306,merchants!$A$1:$D$41,2,FALSE),"Merchant not found")</f>
        <v>Merchant_011</v>
      </c>
      <c r="E306" s="3" t="str">
        <f>IFERROR(VLOOKUP($C306,merchants!$A$1:$D$41,3,FALSE),"Merchant not found")</f>
        <v>ecommerce</v>
      </c>
      <c r="F306" s="3" t="str">
        <f>IFERROR(VLOOKUP($C306,merchants!$A$1:$D$41,4,FALSE),"Merchant not found")</f>
        <v>North</v>
      </c>
      <c r="G306" s="5">
        <v>46043.5159722222</v>
      </c>
      <c r="H306" s="1">
        <v>149</v>
      </c>
      <c r="I306" s="1" t="s">
        <v>49</v>
      </c>
      <c r="J306" s="1" t="s">
        <v>50</v>
      </c>
      <c r="K306" s="1">
        <v>3</v>
      </c>
      <c r="L306" s="6">
        <f>IFERROR(HLOOKUP($I306,Reference!$B$1:$E$2,2,FALSE),0)</f>
        <v>0.015</v>
      </c>
      <c r="M306" s="7">
        <f t="shared" si="0"/>
        <v>46043</v>
      </c>
      <c r="N306" s="3" t="str">
        <f t="shared" si="1"/>
        <v>Regular</v>
      </c>
    </row>
    <row r="307" customHeight="1" spans="1:14">
      <c r="A307" s="1" t="s">
        <v>360</v>
      </c>
      <c r="B307" s="1">
        <v>225</v>
      </c>
      <c r="C307" s="1">
        <v>3</v>
      </c>
      <c r="D307" s="3" t="str">
        <f>IFERROR(VLOOKUP($C307,merchants!$A$1:$D$41,2,FALSE),"Merchant not found")</f>
        <v>Merchant_003</v>
      </c>
      <c r="E307" s="3" t="str">
        <f>IFERROR(VLOOKUP($C307,merchants!$A$1:$D$41,3,FALSE),"Merchant not found")</f>
        <v>grocery</v>
      </c>
      <c r="F307" s="3" t="str">
        <f>IFERROR(VLOOKUP($C307,merchants!$A$1:$D$41,4,FALSE),"Merchant not found")</f>
        <v>East</v>
      </c>
      <c r="G307" s="5">
        <v>46027.8215277778</v>
      </c>
      <c r="H307" s="1">
        <v>99</v>
      </c>
      <c r="I307" s="1" t="s">
        <v>55</v>
      </c>
      <c r="J307" s="1" t="s">
        <v>50</v>
      </c>
      <c r="K307" s="1">
        <v>16</v>
      </c>
      <c r="L307" s="6">
        <f>IFERROR(HLOOKUP($I307,Reference!$B$1:$E$2,2,FALSE),0)</f>
        <v>0.01</v>
      </c>
      <c r="M307" s="7">
        <f t="shared" si="0"/>
        <v>46027</v>
      </c>
      <c r="N307" s="3" t="str">
        <f t="shared" si="1"/>
        <v>Regular</v>
      </c>
    </row>
    <row r="308" customHeight="1" spans="1:14">
      <c r="A308" s="1" t="s">
        <v>361</v>
      </c>
      <c r="B308" s="1">
        <v>331</v>
      </c>
      <c r="C308" s="1">
        <v>24</v>
      </c>
      <c r="D308" s="3" t="str">
        <f>IFERROR(VLOOKUP($C308,merchants!$A$1:$D$41,2,FALSE),"Merchant not found")</f>
        <v>Merchant_024</v>
      </c>
      <c r="E308" s="3" t="str">
        <f>IFERROR(VLOOKUP($C308,merchants!$A$1:$D$41,3,FALSE),"Merchant not found")</f>
        <v>grocery</v>
      </c>
      <c r="F308" s="3" t="str">
        <f>IFERROR(VLOOKUP($C308,merchants!$A$1:$D$41,4,FALSE),"Merchant not found")</f>
        <v>North</v>
      </c>
      <c r="G308" s="5">
        <v>46025.3256944444</v>
      </c>
      <c r="H308" s="1">
        <v>49</v>
      </c>
      <c r="I308" s="1" t="s">
        <v>64</v>
      </c>
      <c r="J308" s="1" t="s">
        <v>50</v>
      </c>
      <c r="K308" s="1">
        <v>46</v>
      </c>
      <c r="L308" s="6">
        <f>IFERROR(HLOOKUP($I308,Reference!$B$1:$E$2,2,FALSE),0)</f>
        <v>0.02</v>
      </c>
      <c r="M308" s="7">
        <f t="shared" si="0"/>
        <v>46025</v>
      </c>
      <c r="N308" s="3" t="str">
        <f t="shared" si="1"/>
        <v>Regular</v>
      </c>
    </row>
    <row r="309" customHeight="1" spans="1:14">
      <c r="A309" s="1" t="s">
        <v>362</v>
      </c>
      <c r="B309" s="1">
        <v>310</v>
      </c>
      <c r="C309" s="1">
        <v>10</v>
      </c>
      <c r="D309" s="3" t="str">
        <f>IFERROR(VLOOKUP($C309,merchants!$A$1:$D$41,2,FALSE),"Merchant not found")</f>
        <v>Merchant_010</v>
      </c>
      <c r="E309" s="3" t="str">
        <f>IFERROR(VLOOKUP($C309,merchants!$A$1:$D$41,3,FALSE),"Merchant not found")</f>
        <v>grocery</v>
      </c>
      <c r="F309" s="3" t="str">
        <f>IFERROR(VLOOKUP($C309,merchants!$A$1:$D$41,4,FALSE),"Merchant not found")</f>
        <v>West</v>
      </c>
      <c r="G309" s="5">
        <v>46035.7513888889</v>
      </c>
      <c r="H309" s="1">
        <v>1499</v>
      </c>
      <c r="I309" s="1" t="s">
        <v>64</v>
      </c>
      <c r="J309" s="1" t="s">
        <v>50</v>
      </c>
      <c r="K309" s="1">
        <v>86</v>
      </c>
      <c r="L309" s="6">
        <f>IFERROR(HLOOKUP($I309,Reference!$B$1:$E$2,2,FALSE),0)</f>
        <v>0.02</v>
      </c>
      <c r="M309" s="7">
        <f t="shared" si="0"/>
        <v>46035</v>
      </c>
      <c r="N309" s="3" t="str">
        <f t="shared" si="1"/>
        <v>Regular</v>
      </c>
    </row>
    <row r="310" customHeight="1" spans="1:14">
      <c r="A310" s="1" t="s">
        <v>363</v>
      </c>
      <c r="B310" s="1">
        <v>228</v>
      </c>
      <c r="C310" s="1">
        <v>5</v>
      </c>
      <c r="D310" s="3" t="str">
        <f>IFERROR(VLOOKUP($C310,merchants!$A$1:$D$41,2,FALSE),"Merchant not found")</f>
        <v>Merchant_005</v>
      </c>
      <c r="E310" s="3" t="str">
        <f>IFERROR(VLOOKUP($C310,merchants!$A$1:$D$41,3,FALSE),"Merchant not found")</f>
        <v>recharge</v>
      </c>
      <c r="F310" s="3" t="str">
        <f>IFERROR(VLOOKUP($C310,merchants!$A$1:$D$41,4,FALSE),"Merchant not found")</f>
        <v>South</v>
      </c>
      <c r="G310" s="5">
        <v>46037.4743055556</v>
      </c>
      <c r="H310" s="1">
        <v>49</v>
      </c>
      <c r="I310" s="1" t="s">
        <v>52</v>
      </c>
      <c r="J310" s="1" t="s">
        <v>50</v>
      </c>
      <c r="K310" s="1">
        <v>73</v>
      </c>
      <c r="L310" s="6">
        <f>IFERROR(HLOOKUP($I310,Reference!$B$1:$E$2,2,FALSE),0)</f>
        <v>0</v>
      </c>
      <c r="M310" s="7">
        <f t="shared" si="0"/>
        <v>46037</v>
      </c>
      <c r="N310" s="3" t="str">
        <f t="shared" si="1"/>
        <v>Regular</v>
      </c>
    </row>
    <row r="311" customHeight="1" spans="1:14">
      <c r="A311" s="1" t="s">
        <v>364</v>
      </c>
      <c r="B311" s="1">
        <v>204</v>
      </c>
      <c r="C311" s="1">
        <v>21</v>
      </c>
      <c r="D311" s="3" t="str">
        <f>IFERROR(VLOOKUP($C311,merchants!$A$1:$D$41,2,FALSE),"Merchant not found")</f>
        <v>Merchant_021</v>
      </c>
      <c r="E311" s="3" t="str">
        <f>IFERROR(VLOOKUP($C311,merchants!$A$1:$D$41,3,FALSE),"Merchant not found")</f>
        <v>food_delivery</v>
      </c>
      <c r="F311" s="3" t="str">
        <f>IFERROR(VLOOKUP($C311,merchants!$A$1:$D$41,4,FALSE),"Merchant not found")</f>
        <v>East</v>
      </c>
      <c r="G311" s="5">
        <v>46027.6826388889</v>
      </c>
      <c r="H311" s="1">
        <v>499</v>
      </c>
      <c r="I311" s="1" t="s">
        <v>52</v>
      </c>
      <c r="J311" s="1" t="s">
        <v>50</v>
      </c>
      <c r="K311" s="1">
        <v>83</v>
      </c>
      <c r="L311" s="6">
        <f>IFERROR(HLOOKUP($I311,Reference!$B$1:$E$2,2,FALSE),0)</f>
        <v>0</v>
      </c>
      <c r="M311" s="7">
        <f t="shared" si="0"/>
        <v>46027</v>
      </c>
      <c r="N311" s="3" t="str">
        <f t="shared" si="1"/>
        <v>Regular</v>
      </c>
    </row>
    <row r="312" customHeight="1" spans="1:14">
      <c r="A312" s="1" t="s">
        <v>365</v>
      </c>
      <c r="B312" s="1">
        <v>14</v>
      </c>
      <c r="C312" s="1">
        <v>12</v>
      </c>
      <c r="D312" s="3" t="str">
        <f>IFERROR(VLOOKUP($C312,merchants!$A$1:$D$41,2,FALSE),"Merchant not found")</f>
        <v>Merchant_012</v>
      </c>
      <c r="E312" s="3" t="str">
        <f>IFERROR(VLOOKUP($C312,merchants!$A$1:$D$41,3,FALSE),"Merchant not found")</f>
        <v>ecommerce</v>
      </c>
      <c r="F312" s="3" t="str">
        <f>IFERROR(VLOOKUP($C312,merchants!$A$1:$D$41,4,FALSE),"Merchant not found")</f>
        <v>East</v>
      </c>
      <c r="G312" s="5">
        <v>46031.2965277778</v>
      </c>
      <c r="H312" s="1">
        <v>799</v>
      </c>
      <c r="I312" s="1" t="s">
        <v>55</v>
      </c>
      <c r="J312" s="1" t="s">
        <v>50</v>
      </c>
      <c r="K312" s="1">
        <v>63</v>
      </c>
      <c r="L312" s="6">
        <f>IFERROR(HLOOKUP($I312,Reference!$B$1:$E$2,2,FALSE),0)</f>
        <v>0.01</v>
      </c>
      <c r="M312" s="7">
        <f t="shared" si="0"/>
        <v>46031</v>
      </c>
      <c r="N312" s="3" t="str">
        <f t="shared" si="1"/>
        <v>Regular</v>
      </c>
    </row>
    <row r="313" customHeight="1" spans="1:14">
      <c r="A313" s="1" t="s">
        <v>366</v>
      </c>
      <c r="B313" s="1">
        <v>288</v>
      </c>
      <c r="C313" s="1">
        <v>8</v>
      </c>
      <c r="D313" s="3" t="str">
        <f>IFERROR(VLOOKUP($C313,merchants!$A$1:$D$41,2,FALSE),"Merchant not found")</f>
        <v>Merchant_008</v>
      </c>
      <c r="E313" s="3" t="str">
        <f>IFERROR(VLOOKUP($C313,merchants!$A$1:$D$41,3,FALSE),"Merchant not found")</f>
        <v>food_delivery</v>
      </c>
      <c r="F313" s="3" t="str">
        <f>IFERROR(VLOOKUP($C313,merchants!$A$1:$D$41,4,FALSE),"Merchant not found")</f>
        <v>North</v>
      </c>
      <c r="G313" s="5">
        <v>46039.5402777778</v>
      </c>
      <c r="H313" s="1">
        <v>49</v>
      </c>
      <c r="I313" s="1" t="s">
        <v>52</v>
      </c>
      <c r="J313" s="1" t="s">
        <v>50</v>
      </c>
      <c r="K313" s="1">
        <v>33</v>
      </c>
      <c r="L313" s="6">
        <f>IFERROR(HLOOKUP($I313,Reference!$B$1:$E$2,2,FALSE),0)</f>
        <v>0</v>
      </c>
      <c r="M313" s="7">
        <f t="shared" si="0"/>
        <v>46039</v>
      </c>
      <c r="N313" s="3" t="str">
        <f t="shared" si="1"/>
        <v>Regular</v>
      </c>
    </row>
    <row r="314" customHeight="1" spans="1:14">
      <c r="A314" s="1" t="s">
        <v>367</v>
      </c>
      <c r="B314" s="1">
        <v>229</v>
      </c>
      <c r="C314" s="1">
        <v>14</v>
      </c>
      <c r="D314" s="3" t="str">
        <f>IFERROR(VLOOKUP($C314,merchants!$A$1:$D$41,2,FALSE),"Merchant not found")</f>
        <v>Merchant_014</v>
      </c>
      <c r="E314" s="3" t="str">
        <f>IFERROR(VLOOKUP($C314,merchants!$A$1:$D$41,3,FALSE),"Merchant not found")</f>
        <v>grocery</v>
      </c>
      <c r="F314" s="3" t="str">
        <f>IFERROR(VLOOKUP($C314,merchants!$A$1:$D$41,4,FALSE),"Merchant not found")</f>
        <v>East</v>
      </c>
      <c r="G314" s="5">
        <v>46047.3645833333</v>
      </c>
      <c r="H314" s="1">
        <v>1499</v>
      </c>
      <c r="I314" s="1" t="s">
        <v>52</v>
      </c>
      <c r="J314" s="1" t="s">
        <v>50</v>
      </c>
      <c r="K314" s="1">
        <v>78</v>
      </c>
      <c r="L314" s="6">
        <f>IFERROR(HLOOKUP($I314,Reference!$B$1:$E$2,2,FALSE),0)</f>
        <v>0</v>
      </c>
      <c r="M314" s="7">
        <f t="shared" si="0"/>
        <v>46047</v>
      </c>
      <c r="N314" s="3" t="str">
        <f t="shared" si="1"/>
        <v>Regular</v>
      </c>
    </row>
    <row r="315" customHeight="1" spans="1:14">
      <c r="A315" s="1" t="s">
        <v>368</v>
      </c>
      <c r="B315" s="1">
        <v>252</v>
      </c>
      <c r="C315" s="1">
        <v>13</v>
      </c>
      <c r="D315" s="3" t="str">
        <f>IFERROR(VLOOKUP($C315,merchants!$A$1:$D$41,2,FALSE),"Merchant not found")</f>
        <v>Merchant_013</v>
      </c>
      <c r="E315" s="3" t="str">
        <f>IFERROR(VLOOKUP($C315,merchants!$A$1:$D$41,3,FALSE),"Merchant not found")</f>
        <v>travel</v>
      </c>
      <c r="F315" s="3" t="str">
        <f>IFERROR(VLOOKUP($C315,merchants!$A$1:$D$41,4,FALSE),"Merchant not found")</f>
        <v>East</v>
      </c>
      <c r="G315" s="5">
        <v>46032.9569444444</v>
      </c>
      <c r="H315" s="1">
        <v>99</v>
      </c>
      <c r="I315" s="1" t="s">
        <v>49</v>
      </c>
      <c r="J315" s="1" t="s">
        <v>50</v>
      </c>
      <c r="K315" s="1">
        <v>15</v>
      </c>
      <c r="L315" s="6">
        <f>IFERROR(HLOOKUP($I315,Reference!$B$1:$E$2,2,FALSE),0)</f>
        <v>0.015</v>
      </c>
      <c r="M315" s="7">
        <f t="shared" si="0"/>
        <v>46032</v>
      </c>
      <c r="N315" s="3" t="str">
        <f t="shared" si="1"/>
        <v>Regular</v>
      </c>
    </row>
    <row r="316" customHeight="1" spans="1:14">
      <c r="A316" s="1" t="s">
        <v>369</v>
      </c>
      <c r="B316" s="1">
        <v>89</v>
      </c>
      <c r="C316" s="1">
        <v>29</v>
      </c>
      <c r="D316" s="3" t="str">
        <f>IFERROR(VLOOKUP($C316,merchants!$A$1:$D$41,2,FALSE),"Merchant not found")</f>
        <v>Merchant_029</v>
      </c>
      <c r="E316" s="3" t="str">
        <f>IFERROR(VLOOKUP($C316,merchants!$A$1:$D$41,3,FALSE),"Merchant not found")</f>
        <v>ecommerce</v>
      </c>
      <c r="F316" s="3" t="str">
        <f>IFERROR(VLOOKUP($C316,merchants!$A$1:$D$41,4,FALSE),"Merchant not found")</f>
        <v>North</v>
      </c>
      <c r="G316" s="5">
        <v>46027.1027777778</v>
      </c>
      <c r="H316" s="1">
        <v>799</v>
      </c>
      <c r="I316" s="1" t="s">
        <v>52</v>
      </c>
      <c r="J316" s="1" t="s">
        <v>50</v>
      </c>
      <c r="K316" s="1">
        <v>11</v>
      </c>
      <c r="L316" s="6">
        <f>IFERROR(HLOOKUP($I316,Reference!$B$1:$E$2,2,FALSE),0)</f>
        <v>0</v>
      </c>
      <c r="M316" s="7">
        <f t="shared" si="0"/>
        <v>46027</v>
      </c>
      <c r="N316" s="3" t="str">
        <f t="shared" si="1"/>
        <v>Regular</v>
      </c>
    </row>
    <row r="317" customHeight="1" spans="1:14">
      <c r="A317" s="1" t="s">
        <v>370</v>
      </c>
      <c r="B317" s="1">
        <v>164</v>
      </c>
      <c r="C317" s="1">
        <v>23</v>
      </c>
      <c r="D317" s="3" t="str">
        <f>IFERROR(VLOOKUP($C317,merchants!$A$1:$D$41,2,FALSE),"Merchant not found")</f>
        <v>Merchant_023</v>
      </c>
      <c r="E317" s="3" t="str">
        <f>IFERROR(VLOOKUP($C317,merchants!$A$1:$D$41,3,FALSE),"Merchant not found")</f>
        <v>travel</v>
      </c>
      <c r="F317" s="3" t="str">
        <f>IFERROR(VLOOKUP($C317,merchants!$A$1:$D$41,4,FALSE),"Merchant not found")</f>
        <v>North</v>
      </c>
      <c r="G317" s="5">
        <v>46048.9125</v>
      </c>
      <c r="H317" s="1">
        <v>49</v>
      </c>
      <c r="I317" s="1" t="s">
        <v>55</v>
      </c>
      <c r="J317" s="1" t="s">
        <v>50</v>
      </c>
      <c r="K317" s="1">
        <v>90</v>
      </c>
      <c r="L317" s="6">
        <f>IFERROR(HLOOKUP($I317,Reference!$B$1:$E$2,2,FALSE),0)</f>
        <v>0.01</v>
      </c>
      <c r="M317" s="7">
        <f t="shared" si="0"/>
        <v>46048</v>
      </c>
      <c r="N317" s="3" t="str">
        <f t="shared" si="1"/>
        <v>Regular</v>
      </c>
    </row>
    <row r="318" customHeight="1" spans="1:14">
      <c r="A318" s="1" t="s">
        <v>371</v>
      </c>
      <c r="B318" s="1">
        <v>149</v>
      </c>
      <c r="C318" s="1">
        <v>20</v>
      </c>
      <c r="D318" s="3" t="str">
        <f>IFERROR(VLOOKUP($C318,merchants!$A$1:$D$41,2,FALSE),"Merchant not found")</f>
        <v>Merchant_020</v>
      </c>
      <c r="E318" s="3" t="str">
        <f>IFERROR(VLOOKUP($C318,merchants!$A$1:$D$41,3,FALSE),"Merchant not found")</f>
        <v>food_delivery</v>
      </c>
      <c r="F318" s="3" t="str">
        <f>IFERROR(VLOOKUP($C318,merchants!$A$1:$D$41,4,FALSE),"Merchant not found")</f>
        <v>East</v>
      </c>
      <c r="G318" s="5">
        <v>46025.7319444444</v>
      </c>
      <c r="H318" s="1">
        <v>299</v>
      </c>
      <c r="I318" s="1" t="s">
        <v>49</v>
      </c>
      <c r="J318" s="1" t="s">
        <v>50</v>
      </c>
      <c r="K318" s="1">
        <v>20</v>
      </c>
      <c r="L318" s="6">
        <f>IFERROR(HLOOKUP($I318,Reference!$B$1:$E$2,2,FALSE),0)</f>
        <v>0.015</v>
      </c>
      <c r="M318" s="7">
        <f t="shared" si="0"/>
        <v>46025</v>
      </c>
      <c r="N318" s="3" t="str">
        <f t="shared" si="1"/>
        <v>Regular</v>
      </c>
    </row>
    <row r="319" customHeight="1" spans="1:14">
      <c r="A319" s="1" t="s">
        <v>372</v>
      </c>
      <c r="B319" s="1">
        <v>327</v>
      </c>
      <c r="C319" s="1">
        <v>12</v>
      </c>
      <c r="D319" s="3" t="str">
        <f>IFERROR(VLOOKUP($C319,merchants!$A$1:$D$41,2,FALSE),"Merchant not found")</f>
        <v>Merchant_012</v>
      </c>
      <c r="E319" s="3" t="str">
        <f>IFERROR(VLOOKUP($C319,merchants!$A$1:$D$41,3,FALSE),"Merchant not found")</f>
        <v>ecommerce</v>
      </c>
      <c r="F319" s="3" t="str">
        <f>IFERROR(VLOOKUP($C319,merchants!$A$1:$D$41,4,FALSE),"Merchant not found")</f>
        <v>East</v>
      </c>
      <c r="G319" s="5">
        <v>46045.9576388889</v>
      </c>
      <c r="H319" s="1">
        <v>49</v>
      </c>
      <c r="I319" s="1" t="s">
        <v>55</v>
      </c>
      <c r="J319" s="1" t="s">
        <v>50</v>
      </c>
      <c r="K319" s="1">
        <v>46</v>
      </c>
      <c r="L319" s="6">
        <f>IFERROR(HLOOKUP($I319,Reference!$B$1:$E$2,2,FALSE),0)</f>
        <v>0.01</v>
      </c>
      <c r="M319" s="7">
        <f t="shared" si="0"/>
        <v>46045</v>
      </c>
      <c r="N319" s="3" t="str">
        <f t="shared" si="1"/>
        <v>Regular</v>
      </c>
    </row>
    <row r="320" customHeight="1" spans="1:14">
      <c r="A320" s="1" t="s">
        <v>373</v>
      </c>
      <c r="B320" s="1">
        <v>103</v>
      </c>
      <c r="C320" s="1">
        <v>9</v>
      </c>
      <c r="D320" s="3" t="str">
        <f>IFERROR(VLOOKUP($C320,merchants!$A$1:$D$41,2,FALSE),"Merchant not found")</f>
        <v>Merchant_009</v>
      </c>
      <c r="E320" s="3" t="str">
        <f>IFERROR(VLOOKUP($C320,merchants!$A$1:$D$41,3,FALSE),"Merchant not found")</f>
        <v>ecommerce</v>
      </c>
      <c r="F320" s="3" t="str">
        <f>IFERROR(VLOOKUP($C320,merchants!$A$1:$D$41,4,FALSE),"Merchant not found")</f>
        <v>North</v>
      </c>
      <c r="G320" s="5">
        <v>46039.2965277778</v>
      </c>
      <c r="H320" s="1">
        <v>149</v>
      </c>
      <c r="I320" s="1" t="s">
        <v>52</v>
      </c>
      <c r="J320" s="1" t="s">
        <v>50</v>
      </c>
      <c r="K320" s="1">
        <v>30</v>
      </c>
      <c r="L320" s="6">
        <f>IFERROR(HLOOKUP($I320,Reference!$B$1:$E$2,2,FALSE),0)</f>
        <v>0</v>
      </c>
      <c r="M320" s="7">
        <f t="shared" si="0"/>
        <v>46039</v>
      </c>
      <c r="N320" s="3" t="str">
        <f t="shared" si="1"/>
        <v>Regular</v>
      </c>
    </row>
    <row r="321" customHeight="1" spans="1:14">
      <c r="A321" s="1" t="s">
        <v>374</v>
      </c>
      <c r="B321" s="1">
        <v>185</v>
      </c>
      <c r="C321" s="1">
        <v>36</v>
      </c>
      <c r="D321" s="3" t="str">
        <f>IFERROR(VLOOKUP($C321,merchants!$A$1:$D$41,2,FALSE),"Merchant not found")</f>
        <v>Merchant_036</v>
      </c>
      <c r="E321" s="3" t="str">
        <f>IFERROR(VLOOKUP($C321,merchants!$A$1:$D$41,3,FALSE),"Merchant not found")</f>
        <v>entertainment</v>
      </c>
      <c r="F321" s="3" t="str">
        <f>IFERROR(VLOOKUP($C321,merchants!$A$1:$D$41,4,FALSE),"Merchant not found")</f>
        <v>East</v>
      </c>
      <c r="G321" s="5">
        <v>46048.6256944444</v>
      </c>
      <c r="H321" s="1">
        <v>49</v>
      </c>
      <c r="I321" s="1" t="s">
        <v>49</v>
      </c>
      <c r="J321" s="1" t="s">
        <v>50</v>
      </c>
      <c r="K321" s="1">
        <v>73</v>
      </c>
      <c r="L321" s="6">
        <f>IFERROR(HLOOKUP($I321,Reference!$B$1:$E$2,2,FALSE),0)</f>
        <v>0.015</v>
      </c>
      <c r="M321" s="7">
        <f t="shared" si="0"/>
        <v>46048</v>
      </c>
      <c r="N321" s="3" t="str">
        <f t="shared" si="1"/>
        <v>Regular</v>
      </c>
    </row>
    <row r="322" customHeight="1" spans="1:14">
      <c r="A322" s="1" t="s">
        <v>375</v>
      </c>
      <c r="B322" s="1">
        <v>283</v>
      </c>
      <c r="C322" s="1">
        <v>9</v>
      </c>
      <c r="D322" s="3" t="str">
        <f>IFERROR(VLOOKUP($C322,merchants!$A$1:$D$41,2,FALSE),"Merchant not found")</f>
        <v>Merchant_009</v>
      </c>
      <c r="E322" s="3" t="str">
        <f>IFERROR(VLOOKUP($C322,merchants!$A$1:$D$41,3,FALSE),"Merchant not found")</f>
        <v>ecommerce</v>
      </c>
      <c r="F322" s="3" t="str">
        <f>IFERROR(VLOOKUP($C322,merchants!$A$1:$D$41,4,FALSE),"Merchant not found")</f>
        <v>North</v>
      </c>
      <c r="G322" s="5">
        <v>46034.61875</v>
      </c>
      <c r="H322" s="1">
        <v>299</v>
      </c>
      <c r="I322" s="1" t="s">
        <v>52</v>
      </c>
      <c r="J322" s="1" t="s">
        <v>50</v>
      </c>
      <c r="K322" s="1">
        <v>78</v>
      </c>
      <c r="L322" s="6">
        <f>IFERROR(HLOOKUP($I322,Reference!$B$1:$E$2,2,FALSE),0)</f>
        <v>0</v>
      </c>
      <c r="M322" s="7">
        <f t="shared" si="0"/>
        <v>46034</v>
      </c>
      <c r="N322" s="3" t="str">
        <f t="shared" si="1"/>
        <v>Regular</v>
      </c>
    </row>
    <row r="323" customHeight="1" spans="1:14">
      <c r="A323" s="1" t="s">
        <v>376</v>
      </c>
      <c r="B323" s="1">
        <v>159</v>
      </c>
      <c r="C323" s="1">
        <v>26</v>
      </c>
      <c r="D323" s="3" t="str">
        <f>IFERROR(VLOOKUP($C323,merchants!$A$1:$D$41,2,FALSE),"Merchant not found")</f>
        <v>Merchant_026</v>
      </c>
      <c r="E323" s="3" t="str">
        <f>IFERROR(VLOOKUP($C323,merchants!$A$1:$D$41,3,FALSE),"Merchant not found")</f>
        <v>food_delivery</v>
      </c>
      <c r="F323" s="3" t="str">
        <f>IFERROR(VLOOKUP($C323,merchants!$A$1:$D$41,4,FALSE),"Merchant not found")</f>
        <v>East</v>
      </c>
      <c r="G323" s="5">
        <v>46051.0861111111</v>
      </c>
      <c r="H323" s="1">
        <v>99</v>
      </c>
      <c r="I323" s="1" t="s">
        <v>52</v>
      </c>
      <c r="J323" s="1" t="s">
        <v>50</v>
      </c>
      <c r="K323" s="1">
        <v>91</v>
      </c>
      <c r="L323" s="6">
        <f>IFERROR(HLOOKUP($I323,Reference!$B$1:$E$2,2,FALSE),0)</f>
        <v>0</v>
      </c>
      <c r="M323" s="7">
        <f t="shared" si="0"/>
        <v>46051</v>
      </c>
      <c r="N323" s="3" t="str">
        <f t="shared" si="1"/>
        <v>Regular</v>
      </c>
    </row>
    <row r="324" customHeight="1" spans="1:14">
      <c r="A324" s="1" t="s">
        <v>377</v>
      </c>
      <c r="B324" s="1">
        <v>211</v>
      </c>
      <c r="C324" s="1">
        <v>27</v>
      </c>
      <c r="D324" s="3" t="str">
        <f>IFERROR(VLOOKUP($C324,merchants!$A$1:$D$41,2,FALSE),"Merchant not found")</f>
        <v>Merchant_027</v>
      </c>
      <c r="E324" s="3" t="str">
        <f>IFERROR(VLOOKUP($C324,merchants!$A$1:$D$41,3,FALSE),"Merchant not found")</f>
        <v>ecommerce</v>
      </c>
      <c r="F324" s="3" t="str">
        <f>IFERROR(VLOOKUP($C324,merchants!$A$1:$D$41,4,FALSE),"Merchant not found")</f>
        <v>North</v>
      </c>
      <c r="G324" s="5">
        <v>46046.6479166667</v>
      </c>
      <c r="H324" s="1">
        <v>99</v>
      </c>
      <c r="I324" s="1" t="s">
        <v>49</v>
      </c>
      <c r="J324" s="1" t="s">
        <v>50</v>
      </c>
      <c r="K324" s="1">
        <v>73</v>
      </c>
      <c r="L324" s="6">
        <f>IFERROR(HLOOKUP($I324,Reference!$B$1:$E$2,2,FALSE),0)</f>
        <v>0.015</v>
      </c>
      <c r="M324" s="7">
        <f t="shared" si="0"/>
        <v>46046</v>
      </c>
      <c r="N324" s="3" t="str">
        <f t="shared" si="1"/>
        <v>Regular</v>
      </c>
    </row>
    <row r="325" customHeight="1" spans="1:14">
      <c r="A325" s="1" t="s">
        <v>378</v>
      </c>
      <c r="B325" s="1">
        <v>329</v>
      </c>
      <c r="C325" s="1">
        <v>5</v>
      </c>
      <c r="D325" s="3" t="str">
        <f>IFERROR(VLOOKUP($C325,merchants!$A$1:$D$41,2,FALSE),"Merchant not found")</f>
        <v>Merchant_005</v>
      </c>
      <c r="E325" s="3" t="str">
        <f>IFERROR(VLOOKUP($C325,merchants!$A$1:$D$41,3,FALSE),"Merchant not found")</f>
        <v>recharge</v>
      </c>
      <c r="F325" s="3" t="str">
        <f>IFERROR(VLOOKUP($C325,merchants!$A$1:$D$41,4,FALSE),"Merchant not found")</f>
        <v>South</v>
      </c>
      <c r="G325" s="5">
        <v>46025.1805555556</v>
      </c>
      <c r="H325" s="1">
        <v>499</v>
      </c>
      <c r="I325" s="1" t="s">
        <v>55</v>
      </c>
      <c r="J325" s="1" t="s">
        <v>50</v>
      </c>
      <c r="K325" s="1">
        <v>57</v>
      </c>
      <c r="L325" s="6">
        <f>IFERROR(HLOOKUP($I325,Reference!$B$1:$E$2,2,FALSE),0)</f>
        <v>0.01</v>
      </c>
      <c r="M325" s="7">
        <f t="shared" si="0"/>
        <v>46025</v>
      </c>
      <c r="N325" s="3" t="str">
        <f t="shared" si="1"/>
        <v>Regular</v>
      </c>
    </row>
    <row r="326" customHeight="1" spans="1:14">
      <c r="A326" s="1" t="s">
        <v>379</v>
      </c>
      <c r="B326" s="1">
        <v>177</v>
      </c>
      <c r="C326" s="1">
        <v>9</v>
      </c>
      <c r="D326" s="3" t="str">
        <f>IFERROR(VLOOKUP($C326,merchants!$A$1:$D$41,2,FALSE),"Merchant not found")</f>
        <v>Merchant_009</v>
      </c>
      <c r="E326" s="3" t="str">
        <f>IFERROR(VLOOKUP($C326,merchants!$A$1:$D$41,3,FALSE),"Merchant not found")</f>
        <v>ecommerce</v>
      </c>
      <c r="F326" s="3" t="str">
        <f>IFERROR(VLOOKUP($C326,merchants!$A$1:$D$41,4,FALSE),"Merchant not found")</f>
        <v>North</v>
      </c>
      <c r="G326" s="5">
        <v>46037.8979166667</v>
      </c>
      <c r="H326" s="1">
        <v>99</v>
      </c>
      <c r="I326" s="1" t="s">
        <v>52</v>
      </c>
      <c r="J326" s="1" t="s">
        <v>50</v>
      </c>
      <c r="K326" s="1">
        <v>99</v>
      </c>
      <c r="L326" s="6">
        <f>IFERROR(HLOOKUP($I326,Reference!$B$1:$E$2,2,FALSE),0)</f>
        <v>0</v>
      </c>
      <c r="M326" s="7">
        <f t="shared" si="0"/>
        <v>46037</v>
      </c>
      <c r="N326" s="3" t="str">
        <f t="shared" si="1"/>
        <v>Regular</v>
      </c>
    </row>
    <row r="327" customHeight="1" spans="1:14">
      <c r="A327" s="1" t="s">
        <v>380</v>
      </c>
      <c r="B327" s="1">
        <v>94</v>
      </c>
      <c r="C327" s="1">
        <v>9</v>
      </c>
      <c r="D327" s="3" t="str">
        <f>IFERROR(VLOOKUP($C327,merchants!$A$1:$D$41,2,FALSE),"Merchant not found")</f>
        <v>Merchant_009</v>
      </c>
      <c r="E327" s="3" t="str">
        <f>IFERROR(VLOOKUP($C327,merchants!$A$1:$D$41,3,FALSE),"Merchant not found")</f>
        <v>ecommerce</v>
      </c>
      <c r="F327" s="3" t="str">
        <f>IFERROR(VLOOKUP($C327,merchants!$A$1:$D$41,4,FALSE),"Merchant not found")</f>
        <v>North</v>
      </c>
      <c r="G327" s="5">
        <v>46040.8590277778</v>
      </c>
      <c r="H327" s="1">
        <v>299</v>
      </c>
      <c r="I327" s="1" t="s">
        <v>52</v>
      </c>
      <c r="J327" s="1" t="s">
        <v>50</v>
      </c>
      <c r="K327" s="1">
        <v>55</v>
      </c>
      <c r="L327" s="6">
        <f>IFERROR(HLOOKUP($I327,Reference!$B$1:$E$2,2,FALSE),0)</f>
        <v>0</v>
      </c>
      <c r="M327" s="7">
        <f t="shared" si="0"/>
        <v>46040</v>
      </c>
      <c r="N327" s="3" t="str">
        <f t="shared" si="1"/>
        <v>Regular</v>
      </c>
    </row>
    <row r="328" customHeight="1" spans="1:14">
      <c r="A328" s="1" t="s">
        <v>381</v>
      </c>
      <c r="B328" s="1">
        <v>64</v>
      </c>
      <c r="C328" s="1">
        <v>34</v>
      </c>
      <c r="D328" s="3" t="str">
        <f>IFERROR(VLOOKUP($C328,merchants!$A$1:$D$41,2,FALSE),"Merchant not found")</f>
        <v>Merchant_034</v>
      </c>
      <c r="E328" s="3" t="str">
        <f>IFERROR(VLOOKUP($C328,merchants!$A$1:$D$41,3,FALSE),"Merchant not found")</f>
        <v>travel</v>
      </c>
      <c r="F328" s="3" t="str">
        <f>IFERROR(VLOOKUP($C328,merchants!$A$1:$D$41,4,FALSE),"Merchant not found")</f>
        <v>South</v>
      </c>
      <c r="G328" s="5">
        <v>46039.0784722222</v>
      </c>
      <c r="H328" s="1">
        <v>299</v>
      </c>
      <c r="I328" s="1" t="s">
        <v>52</v>
      </c>
      <c r="J328" s="1" t="s">
        <v>50</v>
      </c>
      <c r="K328" s="1">
        <v>19</v>
      </c>
      <c r="L328" s="6">
        <f>IFERROR(HLOOKUP($I328,Reference!$B$1:$E$2,2,FALSE),0)</f>
        <v>0</v>
      </c>
      <c r="M328" s="7">
        <f t="shared" si="0"/>
        <v>46039</v>
      </c>
      <c r="N328" s="3" t="str">
        <f t="shared" si="1"/>
        <v>Regular</v>
      </c>
    </row>
    <row r="329" customHeight="1" spans="1:14">
      <c r="A329" s="1" t="s">
        <v>382</v>
      </c>
      <c r="B329" s="1">
        <v>166</v>
      </c>
      <c r="C329" s="1">
        <v>15</v>
      </c>
      <c r="D329" s="3" t="str">
        <f>IFERROR(VLOOKUP($C329,merchants!$A$1:$D$41,2,FALSE),"Merchant not found")</f>
        <v>Merchant_015</v>
      </c>
      <c r="E329" s="3" t="str">
        <f>IFERROR(VLOOKUP($C329,merchants!$A$1:$D$41,3,FALSE),"Merchant not found")</f>
        <v>travel</v>
      </c>
      <c r="F329" s="3" t="str">
        <f>IFERROR(VLOOKUP($C329,merchants!$A$1:$D$41,4,FALSE),"Merchant not found")</f>
        <v>North</v>
      </c>
      <c r="G329" s="5">
        <v>46032.2152777778</v>
      </c>
      <c r="H329" s="1">
        <v>49</v>
      </c>
      <c r="I329" s="1" t="s">
        <v>52</v>
      </c>
      <c r="J329" s="1" t="s">
        <v>50</v>
      </c>
      <c r="K329" s="1">
        <v>44</v>
      </c>
      <c r="L329" s="6">
        <f>IFERROR(HLOOKUP($I329,Reference!$B$1:$E$2,2,FALSE),0)</f>
        <v>0</v>
      </c>
      <c r="M329" s="7">
        <f t="shared" si="0"/>
        <v>46032</v>
      </c>
      <c r="N329" s="3" t="str">
        <f t="shared" si="1"/>
        <v>Regular</v>
      </c>
    </row>
    <row r="330" customHeight="1" spans="1:14">
      <c r="A330" s="1" t="s">
        <v>383</v>
      </c>
      <c r="B330" s="1">
        <v>41</v>
      </c>
      <c r="C330" s="1">
        <v>17</v>
      </c>
      <c r="D330" s="3" t="str">
        <f>IFERROR(VLOOKUP($C330,merchants!$A$1:$D$41,2,FALSE),"Merchant not found")</f>
        <v>Merchant_017</v>
      </c>
      <c r="E330" s="3" t="str">
        <f>IFERROR(VLOOKUP($C330,merchants!$A$1:$D$41,3,FALSE),"Merchant not found")</f>
        <v>grocery</v>
      </c>
      <c r="F330" s="3" t="str">
        <f>IFERROR(VLOOKUP($C330,merchants!$A$1:$D$41,4,FALSE),"Merchant not found")</f>
        <v>North</v>
      </c>
      <c r="G330" s="5">
        <v>46039.4125</v>
      </c>
      <c r="H330" s="1">
        <v>299</v>
      </c>
      <c r="I330" s="1" t="s">
        <v>49</v>
      </c>
      <c r="J330" s="1" t="s">
        <v>50</v>
      </c>
      <c r="K330" s="1">
        <v>25</v>
      </c>
      <c r="L330" s="6">
        <f>IFERROR(HLOOKUP($I330,Reference!$B$1:$E$2,2,FALSE),0)</f>
        <v>0.015</v>
      </c>
      <c r="M330" s="7">
        <f t="shared" si="0"/>
        <v>46039</v>
      </c>
      <c r="N330" s="3" t="str">
        <f t="shared" si="1"/>
        <v>Regular</v>
      </c>
    </row>
    <row r="331" customHeight="1" spans="1:14">
      <c r="A331" s="1" t="s">
        <v>384</v>
      </c>
      <c r="B331" s="1">
        <v>65</v>
      </c>
      <c r="C331" s="1">
        <v>20</v>
      </c>
      <c r="D331" s="3" t="str">
        <f>IFERROR(VLOOKUP($C331,merchants!$A$1:$D$41,2,FALSE),"Merchant not found")</f>
        <v>Merchant_020</v>
      </c>
      <c r="E331" s="3" t="str">
        <f>IFERROR(VLOOKUP($C331,merchants!$A$1:$D$41,3,FALSE),"Merchant not found")</f>
        <v>food_delivery</v>
      </c>
      <c r="F331" s="3" t="str">
        <f>IFERROR(VLOOKUP($C331,merchants!$A$1:$D$41,4,FALSE),"Merchant not found")</f>
        <v>East</v>
      </c>
      <c r="G331" s="5">
        <v>46043.7201388889</v>
      </c>
      <c r="H331" s="1">
        <v>99</v>
      </c>
      <c r="I331" s="1" t="s">
        <v>64</v>
      </c>
      <c r="J331" s="1" t="s">
        <v>50</v>
      </c>
      <c r="K331" s="1">
        <v>78</v>
      </c>
      <c r="L331" s="6">
        <f>IFERROR(HLOOKUP($I331,Reference!$B$1:$E$2,2,FALSE),0)</f>
        <v>0.02</v>
      </c>
      <c r="M331" s="7">
        <f t="shared" si="0"/>
        <v>46043</v>
      </c>
      <c r="N331" s="3" t="str">
        <f t="shared" si="1"/>
        <v>Regular</v>
      </c>
    </row>
    <row r="332" customHeight="1" spans="1:14">
      <c r="A332" s="1" t="s">
        <v>385</v>
      </c>
      <c r="B332" s="1">
        <v>329</v>
      </c>
      <c r="C332" s="1">
        <v>11</v>
      </c>
      <c r="D332" s="3" t="str">
        <f>IFERROR(VLOOKUP($C332,merchants!$A$1:$D$41,2,FALSE),"Merchant not found")</f>
        <v>Merchant_011</v>
      </c>
      <c r="E332" s="3" t="str">
        <f>IFERROR(VLOOKUP($C332,merchants!$A$1:$D$41,3,FALSE),"Merchant not found")</f>
        <v>ecommerce</v>
      </c>
      <c r="F332" s="3" t="str">
        <f>IFERROR(VLOOKUP($C332,merchants!$A$1:$D$41,4,FALSE),"Merchant not found")</f>
        <v>North</v>
      </c>
      <c r="G332" s="5">
        <v>46040.1055555556</v>
      </c>
      <c r="H332" s="1">
        <v>499</v>
      </c>
      <c r="I332" s="1" t="s">
        <v>52</v>
      </c>
      <c r="J332" s="1" t="s">
        <v>50</v>
      </c>
      <c r="K332" s="1">
        <v>75</v>
      </c>
      <c r="L332" s="6">
        <f>IFERROR(HLOOKUP($I332,Reference!$B$1:$E$2,2,FALSE),0)</f>
        <v>0</v>
      </c>
      <c r="M332" s="7">
        <f t="shared" si="0"/>
        <v>46040</v>
      </c>
      <c r="N332" s="3" t="str">
        <f t="shared" si="1"/>
        <v>Regular</v>
      </c>
    </row>
    <row r="333" customHeight="1" spans="1:14">
      <c r="A333" s="1" t="s">
        <v>386</v>
      </c>
      <c r="B333" s="1">
        <v>338</v>
      </c>
      <c r="C333" s="1">
        <v>40</v>
      </c>
      <c r="D333" s="3" t="str">
        <f>IFERROR(VLOOKUP($C333,merchants!$A$1:$D$41,2,FALSE),"Merchant not found")</f>
        <v>Merchant_040</v>
      </c>
      <c r="E333" s="3" t="str">
        <f>IFERROR(VLOOKUP($C333,merchants!$A$1:$D$41,3,FALSE),"Merchant not found")</f>
        <v>entertainment</v>
      </c>
      <c r="F333" s="3" t="str">
        <f>IFERROR(VLOOKUP($C333,merchants!$A$1:$D$41,4,FALSE),"Merchant not found")</f>
        <v>South</v>
      </c>
      <c r="G333" s="5">
        <v>46041.1736111111</v>
      </c>
      <c r="H333" s="1">
        <v>149</v>
      </c>
      <c r="I333" s="1" t="s">
        <v>52</v>
      </c>
      <c r="J333" s="1" t="s">
        <v>50</v>
      </c>
      <c r="K333" s="1">
        <v>92</v>
      </c>
      <c r="L333" s="6">
        <f>IFERROR(HLOOKUP($I333,Reference!$B$1:$E$2,2,FALSE),0)</f>
        <v>0</v>
      </c>
      <c r="M333" s="7">
        <f t="shared" si="0"/>
        <v>46041</v>
      </c>
      <c r="N333" s="3" t="str">
        <f t="shared" si="1"/>
        <v>Regular</v>
      </c>
    </row>
    <row r="334" customHeight="1" spans="1:14">
      <c r="A334" s="1" t="s">
        <v>387</v>
      </c>
      <c r="B334" s="1">
        <v>289</v>
      </c>
      <c r="C334" s="1">
        <v>3</v>
      </c>
      <c r="D334" s="3" t="str">
        <f>IFERROR(VLOOKUP($C334,merchants!$A$1:$D$41,2,FALSE),"Merchant not found")</f>
        <v>Merchant_003</v>
      </c>
      <c r="E334" s="3" t="str">
        <f>IFERROR(VLOOKUP($C334,merchants!$A$1:$D$41,3,FALSE),"Merchant not found")</f>
        <v>grocery</v>
      </c>
      <c r="F334" s="3" t="str">
        <f>IFERROR(VLOOKUP($C334,merchants!$A$1:$D$41,4,FALSE),"Merchant not found")</f>
        <v>East</v>
      </c>
      <c r="G334" s="5">
        <v>46051.80625</v>
      </c>
      <c r="H334" s="1">
        <v>49</v>
      </c>
      <c r="I334" s="1" t="s">
        <v>55</v>
      </c>
      <c r="J334" s="1" t="s">
        <v>50</v>
      </c>
      <c r="K334" s="1">
        <v>3</v>
      </c>
      <c r="L334" s="6">
        <f>IFERROR(HLOOKUP($I334,Reference!$B$1:$E$2,2,FALSE),0)</f>
        <v>0.01</v>
      </c>
      <c r="M334" s="7">
        <f t="shared" si="0"/>
        <v>46051</v>
      </c>
      <c r="N334" s="3" t="str">
        <f t="shared" si="1"/>
        <v>Regular</v>
      </c>
    </row>
    <row r="335" customHeight="1" spans="1:14">
      <c r="A335" s="1" t="s">
        <v>388</v>
      </c>
      <c r="B335" s="1">
        <v>296</v>
      </c>
      <c r="C335" s="1">
        <v>17</v>
      </c>
      <c r="D335" s="3" t="str">
        <f>IFERROR(VLOOKUP($C335,merchants!$A$1:$D$41,2,FALSE),"Merchant not found")</f>
        <v>Merchant_017</v>
      </c>
      <c r="E335" s="3" t="str">
        <f>IFERROR(VLOOKUP($C335,merchants!$A$1:$D$41,3,FALSE),"Merchant not found")</f>
        <v>grocery</v>
      </c>
      <c r="F335" s="3" t="str">
        <f>IFERROR(VLOOKUP($C335,merchants!$A$1:$D$41,4,FALSE),"Merchant not found")</f>
        <v>North</v>
      </c>
      <c r="G335" s="5">
        <v>46025.0701388889</v>
      </c>
      <c r="H335" s="1">
        <v>99</v>
      </c>
      <c r="I335" s="1" t="s">
        <v>52</v>
      </c>
      <c r="J335" s="1" t="s">
        <v>50</v>
      </c>
      <c r="K335" s="1">
        <v>83</v>
      </c>
      <c r="L335" s="6">
        <f>IFERROR(HLOOKUP($I335,Reference!$B$1:$E$2,2,FALSE),0)</f>
        <v>0</v>
      </c>
      <c r="M335" s="7">
        <f t="shared" si="0"/>
        <v>46025</v>
      </c>
      <c r="N335" s="3" t="str">
        <f t="shared" si="1"/>
        <v>Regular</v>
      </c>
    </row>
    <row r="336" customHeight="1" spans="1:14">
      <c r="A336" s="1" t="s">
        <v>389</v>
      </c>
      <c r="B336" s="1">
        <v>317</v>
      </c>
      <c r="C336" s="1">
        <v>2</v>
      </c>
      <c r="D336" s="3" t="str">
        <f>IFERROR(VLOOKUP($C336,merchants!$A$1:$D$41,2,FALSE),"Merchant not found")</f>
        <v>Merchant_002</v>
      </c>
      <c r="E336" s="3" t="str">
        <f>IFERROR(VLOOKUP($C336,merchants!$A$1:$D$41,3,FALSE),"Merchant not found")</f>
        <v>grocery</v>
      </c>
      <c r="F336" s="3" t="str">
        <f>IFERROR(VLOOKUP($C336,merchants!$A$1:$D$41,4,FALSE),"Merchant not found")</f>
        <v>West</v>
      </c>
      <c r="G336" s="5">
        <v>46029.7680555556</v>
      </c>
      <c r="H336" s="1">
        <v>499</v>
      </c>
      <c r="I336" s="1" t="s">
        <v>64</v>
      </c>
      <c r="J336" s="1" t="s">
        <v>50</v>
      </c>
      <c r="K336" s="1">
        <v>63</v>
      </c>
      <c r="L336" s="6">
        <f>IFERROR(HLOOKUP($I336,Reference!$B$1:$E$2,2,FALSE),0)</f>
        <v>0.02</v>
      </c>
      <c r="M336" s="7">
        <f t="shared" si="0"/>
        <v>46029</v>
      </c>
      <c r="N336" s="3" t="str">
        <f t="shared" si="1"/>
        <v>Regular</v>
      </c>
    </row>
    <row r="337" customHeight="1" spans="1:14">
      <c r="A337" s="1" t="s">
        <v>390</v>
      </c>
      <c r="B337" s="1">
        <v>149</v>
      </c>
      <c r="C337" s="1">
        <v>20</v>
      </c>
      <c r="D337" s="3" t="str">
        <f>IFERROR(VLOOKUP($C337,merchants!$A$1:$D$41,2,FALSE),"Merchant not found")</f>
        <v>Merchant_020</v>
      </c>
      <c r="E337" s="3" t="str">
        <f>IFERROR(VLOOKUP($C337,merchants!$A$1:$D$41,3,FALSE),"Merchant not found")</f>
        <v>food_delivery</v>
      </c>
      <c r="F337" s="3" t="str">
        <f>IFERROR(VLOOKUP($C337,merchants!$A$1:$D$41,4,FALSE),"Merchant not found")</f>
        <v>East</v>
      </c>
      <c r="G337" s="5">
        <v>46051.8569444444</v>
      </c>
      <c r="H337" s="1">
        <v>499</v>
      </c>
      <c r="I337" s="1" t="s">
        <v>64</v>
      </c>
      <c r="J337" s="1" t="s">
        <v>50</v>
      </c>
      <c r="K337" s="1">
        <v>61</v>
      </c>
      <c r="L337" s="6">
        <f>IFERROR(HLOOKUP($I337,Reference!$B$1:$E$2,2,FALSE),0)</f>
        <v>0.02</v>
      </c>
      <c r="M337" s="7">
        <f t="shared" si="0"/>
        <v>46051</v>
      </c>
      <c r="N337" s="3" t="str">
        <f t="shared" si="1"/>
        <v>Regular</v>
      </c>
    </row>
    <row r="338" customHeight="1" spans="1:14">
      <c r="A338" s="1" t="s">
        <v>391</v>
      </c>
      <c r="B338" s="1">
        <v>153</v>
      </c>
      <c r="C338" s="1">
        <v>30</v>
      </c>
      <c r="D338" s="3" t="str">
        <f>IFERROR(VLOOKUP($C338,merchants!$A$1:$D$41,2,FALSE),"Merchant not found")</f>
        <v>Merchant_030</v>
      </c>
      <c r="E338" s="3" t="str">
        <f>IFERROR(VLOOKUP($C338,merchants!$A$1:$D$41,3,FALSE),"Merchant not found")</f>
        <v>travel</v>
      </c>
      <c r="F338" s="3" t="str">
        <f>IFERROR(VLOOKUP($C338,merchants!$A$1:$D$41,4,FALSE),"Merchant not found")</f>
        <v>West</v>
      </c>
      <c r="G338" s="5">
        <v>46030.8923611111</v>
      </c>
      <c r="H338" s="1">
        <v>299</v>
      </c>
      <c r="I338" s="1" t="s">
        <v>52</v>
      </c>
      <c r="J338" s="1" t="s">
        <v>50</v>
      </c>
      <c r="K338" s="1">
        <v>9</v>
      </c>
      <c r="L338" s="6">
        <f>IFERROR(HLOOKUP($I338,Reference!$B$1:$E$2,2,FALSE),0)</f>
        <v>0</v>
      </c>
      <c r="M338" s="7">
        <f t="shared" si="0"/>
        <v>46030</v>
      </c>
      <c r="N338" s="3" t="str">
        <f t="shared" si="1"/>
        <v>Regular</v>
      </c>
    </row>
    <row r="339" customHeight="1" spans="1:14">
      <c r="A339" s="1" t="s">
        <v>392</v>
      </c>
      <c r="B339" s="1">
        <v>226</v>
      </c>
      <c r="C339" s="1">
        <v>27</v>
      </c>
      <c r="D339" s="3" t="str">
        <f>IFERROR(VLOOKUP($C339,merchants!$A$1:$D$41,2,FALSE),"Merchant not found")</f>
        <v>Merchant_027</v>
      </c>
      <c r="E339" s="3" t="str">
        <f>IFERROR(VLOOKUP($C339,merchants!$A$1:$D$41,3,FALSE),"Merchant not found")</f>
        <v>ecommerce</v>
      </c>
      <c r="F339" s="3" t="str">
        <f>IFERROR(VLOOKUP($C339,merchants!$A$1:$D$41,4,FALSE),"Merchant not found")</f>
        <v>North</v>
      </c>
      <c r="G339" s="5">
        <v>46045.0486111111</v>
      </c>
      <c r="H339" s="1">
        <v>2999</v>
      </c>
      <c r="I339" s="1" t="s">
        <v>52</v>
      </c>
      <c r="J339" s="1" t="s">
        <v>78</v>
      </c>
      <c r="K339" s="1">
        <v>61</v>
      </c>
      <c r="L339" s="6">
        <f>IFERROR(HLOOKUP($I339,Reference!$B$1:$E$2,2,FALSE),0)</f>
        <v>0</v>
      </c>
      <c r="M339" s="7">
        <f t="shared" si="0"/>
        <v>46045</v>
      </c>
      <c r="N339" s="3" t="str">
        <f t="shared" si="1"/>
        <v>Regular</v>
      </c>
    </row>
    <row r="340" customHeight="1" spans="1:14">
      <c r="A340" s="1" t="s">
        <v>393</v>
      </c>
      <c r="B340" s="1">
        <v>311</v>
      </c>
      <c r="C340" s="1">
        <v>10</v>
      </c>
      <c r="D340" s="3" t="str">
        <f>IFERROR(VLOOKUP($C340,merchants!$A$1:$D$41,2,FALSE),"Merchant not found")</f>
        <v>Merchant_010</v>
      </c>
      <c r="E340" s="3" t="str">
        <f>IFERROR(VLOOKUP($C340,merchants!$A$1:$D$41,3,FALSE),"Merchant not found")</f>
        <v>grocery</v>
      </c>
      <c r="F340" s="3" t="str">
        <f>IFERROR(VLOOKUP($C340,merchants!$A$1:$D$41,4,FALSE),"Merchant not found")</f>
        <v>West</v>
      </c>
      <c r="G340" s="5">
        <v>46037.2645833333</v>
      </c>
      <c r="H340" s="1">
        <v>2999</v>
      </c>
      <c r="I340" s="1" t="s">
        <v>52</v>
      </c>
      <c r="J340" s="1" t="s">
        <v>50</v>
      </c>
      <c r="K340" s="1">
        <v>40</v>
      </c>
      <c r="L340" s="6">
        <f>IFERROR(HLOOKUP($I340,Reference!$B$1:$E$2,2,FALSE),0)</f>
        <v>0</v>
      </c>
      <c r="M340" s="7">
        <f t="shared" si="0"/>
        <v>46037</v>
      </c>
      <c r="N340" s="3" t="str">
        <f t="shared" si="1"/>
        <v>Regular</v>
      </c>
    </row>
    <row r="341" customHeight="1" spans="1:14">
      <c r="A341" s="1" t="s">
        <v>394</v>
      </c>
      <c r="B341" s="1">
        <v>177</v>
      </c>
      <c r="C341" s="1">
        <v>26</v>
      </c>
      <c r="D341" s="3" t="str">
        <f>IFERROR(VLOOKUP($C341,merchants!$A$1:$D$41,2,FALSE),"Merchant not found")</f>
        <v>Merchant_026</v>
      </c>
      <c r="E341" s="3" t="str">
        <f>IFERROR(VLOOKUP($C341,merchants!$A$1:$D$41,3,FALSE),"Merchant not found")</f>
        <v>food_delivery</v>
      </c>
      <c r="F341" s="3" t="str">
        <f>IFERROR(VLOOKUP($C341,merchants!$A$1:$D$41,4,FALSE),"Merchant not found")</f>
        <v>East</v>
      </c>
      <c r="G341" s="5">
        <v>46050.9305555556</v>
      </c>
      <c r="H341" s="1">
        <v>1499</v>
      </c>
      <c r="I341" s="1" t="s">
        <v>52</v>
      </c>
      <c r="J341" s="1" t="s">
        <v>50</v>
      </c>
      <c r="K341" s="1">
        <v>16</v>
      </c>
      <c r="L341" s="6">
        <f>IFERROR(HLOOKUP($I341,Reference!$B$1:$E$2,2,FALSE),0)</f>
        <v>0</v>
      </c>
      <c r="M341" s="7">
        <f t="shared" si="0"/>
        <v>46050</v>
      </c>
      <c r="N341" s="3" t="str">
        <f t="shared" si="1"/>
        <v>Regular</v>
      </c>
    </row>
    <row r="342" customHeight="1" spans="1:14">
      <c r="A342" s="1" t="s">
        <v>395</v>
      </c>
      <c r="B342" s="1">
        <v>288</v>
      </c>
      <c r="C342" s="1">
        <v>7</v>
      </c>
      <c r="D342" s="3" t="str">
        <f>IFERROR(VLOOKUP($C342,merchants!$A$1:$D$41,2,FALSE),"Merchant not found")</f>
        <v>Merchant_007</v>
      </c>
      <c r="E342" s="3" t="str">
        <f>IFERROR(VLOOKUP($C342,merchants!$A$1:$D$41,3,FALSE),"Merchant not found")</f>
        <v>food_delivery</v>
      </c>
      <c r="F342" s="3" t="str">
        <f>IFERROR(VLOOKUP($C342,merchants!$A$1:$D$41,4,FALSE),"Merchant not found")</f>
        <v>East</v>
      </c>
      <c r="G342" s="5">
        <v>46047.4805555556</v>
      </c>
      <c r="H342" s="1">
        <v>99</v>
      </c>
      <c r="I342" s="1" t="s">
        <v>55</v>
      </c>
      <c r="J342" s="1" t="s">
        <v>50</v>
      </c>
      <c r="K342" s="1">
        <v>40</v>
      </c>
      <c r="L342" s="6">
        <f>IFERROR(HLOOKUP($I342,Reference!$B$1:$E$2,2,FALSE),0)</f>
        <v>0.01</v>
      </c>
      <c r="M342" s="7">
        <f t="shared" si="0"/>
        <v>46047</v>
      </c>
      <c r="N342" s="3" t="str">
        <f t="shared" si="1"/>
        <v>Regular</v>
      </c>
    </row>
    <row r="343" customHeight="1" spans="1:14">
      <c r="A343" s="1" t="s">
        <v>396</v>
      </c>
      <c r="B343" s="1">
        <v>137</v>
      </c>
      <c r="C343" s="1">
        <v>29</v>
      </c>
      <c r="D343" s="3" t="str">
        <f>IFERROR(VLOOKUP($C343,merchants!$A$1:$D$41,2,FALSE),"Merchant not found")</f>
        <v>Merchant_029</v>
      </c>
      <c r="E343" s="3" t="str">
        <f>IFERROR(VLOOKUP($C343,merchants!$A$1:$D$41,3,FALSE),"Merchant not found")</f>
        <v>ecommerce</v>
      </c>
      <c r="F343" s="3" t="str">
        <f>IFERROR(VLOOKUP($C343,merchants!$A$1:$D$41,4,FALSE),"Merchant not found")</f>
        <v>North</v>
      </c>
      <c r="G343" s="5">
        <v>46030.5881944444</v>
      </c>
      <c r="H343" s="1">
        <v>2999</v>
      </c>
      <c r="I343" s="1" t="s">
        <v>52</v>
      </c>
      <c r="J343" s="1" t="s">
        <v>65</v>
      </c>
      <c r="K343" s="1">
        <v>31</v>
      </c>
      <c r="L343" s="6">
        <f>IFERROR(HLOOKUP($I343,Reference!$B$1:$E$2,2,FALSE),0)</f>
        <v>0</v>
      </c>
      <c r="M343" s="7">
        <f t="shared" si="0"/>
        <v>46030</v>
      </c>
      <c r="N343" s="3" t="str">
        <f t="shared" si="1"/>
        <v>Regular</v>
      </c>
    </row>
    <row r="344" customHeight="1" spans="1:14">
      <c r="A344" s="1" t="s">
        <v>397</v>
      </c>
      <c r="B344" s="1">
        <v>149</v>
      </c>
      <c r="C344" s="1">
        <v>25</v>
      </c>
      <c r="D344" s="3" t="str">
        <f>IFERROR(VLOOKUP($C344,merchants!$A$1:$D$41,2,FALSE),"Merchant not found")</f>
        <v>Merchant_025</v>
      </c>
      <c r="E344" s="3" t="str">
        <f>IFERROR(VLOOKUP($C344,merchants!$A$1:$D$41,3,FALSE),"Merchant not found")</f>
        <v>travel</v>
      </c>
      <c r="F344" s="3" t="str">
        <f>IFERROR(VLOOKUP($C344,merchants!$A$1:$D$41,4,FALSE),"Merchant not found")</f>
        <v>South</v>
      </c>
      <c r="G344" s="5">
        <v>46027.1270833333</v>
      </c>
      <c r="H344" s="1">
        <v>1499</v>
      </c>
      <c r="I344" s="1" t="s">
        <v>52</v>
      </c>
      <c r="J344" s="1" t="s">
        <v>50</v>
      </c>
      <c r="K344" s="1">
        <v>78</v>
      </c>
      <c r="L344" s="6">
        <f>IFERROR(HLOOKUP($I344,Reference!$B$1:$E$2,2,FALSE),0)</f>
        <v>0</v>
      </c>
      <c r="M344" s="7">
        <f t="shared" si="0"/>
        <v>46027</v>
      </c>
      <c r="N344" s="3" t="str">
        <f t="shared" si="1"/>
        <v>Regular</v>
      </c>
    </row>
    <row r="345" customHeight="1" spans="1:14">
      <c r="A345" s="1" t="s">
        <v>398</v>
      </c>
      <c r="B345" s="1">
        <v>82</v>
      </c>
      <c r="C345" s="1">
        <v>21</v>
      </c>
      <c r="D345" s="3" t="str">
        <f>IFERROR(VLOOKUP($C345,merchants!$A$1:$D$41,2,FALSE),"Merchant not found")</f>
        <v>Merchant_021</v>
      </c>
      <c r="E345" s="3" t="str">
        <f>IFERROR(VLOOKUP($C345,merchants!$A$1:$D$41,3,FALSE),"Merchant not found")</f>
        <v>food_delivery</v>
      </c>
      <c r="F345" s="3" t="str">
        <f>IFERROR(VLOOKUP($C345,merchants!$A$1:$D$41,4,FALSE),"Merchant not found")</f>
        <v>East</v>
      </c>
      <c r="G345" s="5">
        <v>46036.3298611111</v>
      </c>
      <c r="H345" s="1">
        <v>49</v>
      </c>
      <c r="I345" s="1" t="s">
        <v>49</v>
      </c>
      <c r="J345" s="1" t="s">
        <v>50</v>
      </c>
      <c r="K345" s="1">
        <v>73</v>
      </c>
      <c r="L345" s="6">
        <f>IFERROR(HLOOKUP($I345,Reference!$B$1:$E$2,2,FALSE),0)</f>
        <v>0.015</v>
      </c>
      <c r="M345" s="7">
        <f t="shared" si="0"/>
        <v>46036</v>
      </c>
      <c r="N345" s="3" t="str">
        <f t="shared" si="1"/>
        <v>Regular</v>
      </c>
    </row>
    <row r="346" customHeight="1" spans="1:14">
      <c r="A346" s="1" t="s">
        <v>399</v>
      </c>
      <c r="B346" s="1">
        <v>82</v>
      </c>
      <c r="C346" s="1">
        <v>32</v>
      </c>
      <c r="D346" s="3" t="str">
        <f>IFERROR(VLOOKUP($C346,merchants!$A$1:$D$41,2,FALSE),"Merchant not found")</f>
        <v>Merchant_032</v>
      </c>
      <c r="E346" s="3" t="str">
        <f>IFERROR(VLOOKUP($C346,merchants!$A$1:$D$41,3,FALSE),"Merchant not found")</f>
        <v>food_delivery</v>
      </c>
      <c r="F346" s="3" t="str">
        <f>IFERROR(VLOOKUP($C346,merchants!$A$1:$D$41,4,FALSE),"Merchant not found")</f>
        <v>West</v>
      </c>
      <c r="G346" s="5">
        <v>46046.425</v>
      </c>
      <c r="H346" s="1">
        <v>49</v>
      </c>
      <c r="I346" s="1" t="s">
        <v>52</v>
      </c>
      <c r="J346" s="1" t="s">
        <v>50</v>
      </c>
      <c r="K346" s="1">
        <v>65</v>
      </c>
      <c r="L346" s="6">
        <f>IFERROR(HLOOKUP($I346,Reference!$B$1:$E$2,2,FALSE),0)</f>
        <v>0</v>
      </c>
      <c r="M346" s="7">
        <f t="shared" si="0"/>
        <v>46046</v>
      </c>
      <c r="N346" s="3" t="str">
        <f t="shared" si="1"/>
        <v>Regular</v>
      </c>
    </row>
    <row r="347" customHeight="1" spans="1:14">
      <c r="A347" s="1" t="s">
        <v>400</v>
      </c>
      <c r="B347" s="1">
        <v>158</v>
      </c>
      <c r="C347" s="1">
        <v>32</v>
      </c>
      <c r="D347" s="3" t="str">
        <f>IFERROR(VLOOKUP($C347,merchants!$A$1:$D$41,2,FALSE),"Merchant not found")</f>
        <v>Merchant_032</v>
      </c>
      <c r="E347" s="3" t="str">
        <f>IFERROR(VLOOKUP($C347,merchants!$A$1:$D$41,3,FALSE),"Merchant not found")</f>
        <v>food_delivery</v>
      </c>
      <c r="F347" s="3" t="str">
        <f>IFERROR(VLOOKUP($C347,merchants!$A$1:$D$41,4,FALSE),"Merchant not found")</f>
        <v>West</v>
      </c>
      <c r="G347" s="5">
        <v>46037.6638888889</v>
      </c>
      <c r="H347" s="1">
        <v>99</v>
      </c>
      <c r="I347" s="1" t="s">
        <v>49</v>
      </c>
      <c r="J347" s="1" t="s">
        <v>50</v>
      </c>
      <c r="K347" s="1">
        <v>2</v>
      </c>
      <c r="L347" s="6">
        <f>IFERROR(HLOOKUP($I347,Reference!$B$1:$E$2,2,FALSE),0)</f>
        <v>0.015</v>
      </c>
      <c r="M347" s="7">
        <f t="shared" si="0"/>
        <v>46037</v>
      </c>
      <c r="N347" s="3" t="str">
        <f t="shared" si="1"/>
        <v>Regular</v>
      </c>
    </row>
    <row r="348" customHeight="1" spans="1:14">
      <c r="A348" s="1" t="s">
        <v>401</v>
      </c>
      <c r="B348" s="1">
        <v>235</v>
      </c>
      <c r="C348" s="1">
        <v>16</v>
      </c>
      <c r="D348" s="3" t="str">
        <f>IFERROR(VLOOKUP($C348,merchants!$A$1:$D$41,2,FALSE),"Merchant not found")</f>
        <v>Merchant_016</v>
      </c>
      <c r="E348" s="3" t="str">
        <f>IFERROR(VLOOKUP($C348,merchants!$A$1:$D$41,3,FALSE),"Merchant not found")</f>
        <v>bill_payment</v>
      </c>
      <c r="F348" s="3" t="str">
        <f>IFERROR(VLOOKUP($C348,merchants!$A$1:$D$41,4,FALSE),"Merchant not found")</f>
        <v>West</v>
      </c>
      <c r="G348" s="5">
        <v>46025.5222222222</v>
      </c>
      <c r="H348" s="1">
        <v>99</v>
      </c>
      <c r="I348" s="1" t="s">
        <v>52</v>
      </c>
      <c r="J348" s="1" t="s">
        <v>50</v>
      </c>
      <c r="K348" s="1">
        <v>27</v>
      </c>
      <c r="L348" s="6">
        <f>IFERROR(HLOOKUP($I348,Reference!$B$1:$E$2,2,FALSE),0)</f>
        <v>0</v>
      </c>
      <c r="M348" s="7">
        <f t="shared" si="0"/>
        <v>46025</v>
      </c>
      <c r="N348" s="3" t="str">
        <f t="shared" si="1"/>
        <v>Regular</v>
      </c>
    </row>
    <row r="349" customHeight="1" spans="1:14">
      <c r="A349" s="1" t="s">
        <v>402</v>
      </c>
      <c r="B349" s="1">
        <v>26</v>
      </c>
      <c r="C349" s="1">
        <v>19</v>
      </c>
      <c r="D349" s="3" t="str">
        <f>IFERROR(VLOOKUP($C349,merchants!$A$1:$D$41,2,FALSE),"Merchant not found")</f>
        <v>Merchant_019</v>
      </c>
      <c r="E349" s="3" t="str">
        <f>IFERROR(VLOOKUP($C349,merchants!$A$1:$D$41,3,FALSE),"Merchant not found")</f>
        <v>grocery</v>
      </c>
      <c r="F349" s="3" t="str">
        <f>IFERROR(VLOOKUP($C349,merchants!$A$1:$D$41,4,FALSE),"Merchant not found")</f>
        <v>North</v>
      </c>
      <c r="G349" s="5">
        <v>46041.4604166667</v>
      </c>
      <c r="H349" s="1">
        <v>99</v>
      </c>
      <c r="I349" s="1" t="s">
        <v>49</v>
      </c>
      <c r="J349" s="1" t="s">
        <v>50</v>
      </c>
      <c r="K349" s="1">
        <v>63</v>
      </c>
      <c r="L349" s="6">
        <f>IFERROR(HLOOKUP($I349,Reference!$B$1:$E$2,2,FALSE),0)</f>
        <v>0.015</v>
      </c>
      <c r="M349" s="7">
        <f t="shared" si="0"/>
        <v>46041</v>
      </c>
      <c r="N349" s="3" t="str">
        <f t="shared" si="1"/>
        <v>Regular</v>
      </c>
    </row>
    <row r="350" customHeight="1" spans="1:14">
      <c r="A350" s="1" t="s">
        <v>403</v>
      </c>
      <c r="B350" s="1">
        <v>241</v>
      </c>
      <c r="C350" s="1">
        <v>19</v>
      </c>
      <c r="D350" s="3" t="str">
        <f>IFERROR(VLOOKUP($C350,merchants!$A$1:$D$41,2,FALSE),"Merchant not found")</f>
        <v>Merchant_019</v>
      </c>
      <c r="E350" s="3" t="str">
        <f>IFERROR(VLOOKUP($C350,merchants!$A$1:$D$41,3,FALSE),"Merchant not found")</f>
        <v>grocery</v>
      </c>
      <c r="F350" s="3" t="str">
        <f>IFERROR(VLOOKUP($C350,merchants!$A$1:$D$41,4,FALSE),"Merchant not found")</f>
        <v>North</v>
      </c>
      <c r="G350" s="5">
        <v>46042.8631944444</v>
      </c>
      <c r="H350" s="1">
        <v>299</v>
      </c>
      <c r="I350" s="1" t="s">
        <v>52</v>
      </c>
      <c r="J350" s="1" t="s">
        <v>50</v>
      </c>
      <c r="K350" s="1">
        <v>68</v>
      </c>
      <c r="L350" s="6">
        <f>IFERROR(HLOOKUP($I350,Reference!$B$1:$E$2,2,FALSE),0)</f>
        <v>0</v>
      </c>
      <c r="M350" s="7">
        <f t="shared" si="0"/>
        <v>46042</v>
      </c>
      <c r="N350" s="3" t="str">
        <f t="shared" si="1"/>
        <v>Regular</v>
      </c>
    </row>
    <row r="351" customHeight="1" spans="1:14">
      <c r="A351" s="1" t="s">
        <v>404</v>
      </c>
      <c r="B351" s="1">
        <v>69</v>
      </c>
      <c r="C351" s="1">
        <v>17</v>
      </c>
      <c r="D351" s="3" t="str">
        <f>IFERROR(VLOOKUP($C351,merchants!$A$1:$D$41,2,FALSE),"Merchant not found")</f>
        <v>Merchant_017</v>
      </c>
      <c r="E351" s="3" t="str">
        <f>IFERROR(VLOOKUP($C351,merchants!$A$1:$D$41,3,FALSE),"Merchant not found")</f>
        <v>grocery</v>
      </c>
      <c r="F351" s="3" t="str">
        <f>IFERROR(VLOOKUP($C351,merchants!$A$1:$D$41,4,FALSE),"Merchant not found")</f>
        <v>North</v>
      </c>
      <c r="G351" s="5">
        <v>46023.14375</v>
      </c>
      <c r="H351" s="1">
        <v>1499</v>
      </c>
      <c r="I351" s="1" t="s">
        <v>52</v>
      </c>
      <c r="J351" s="1" t="s">
        <v>50</v>
      </c>
      <c r="K351" s="1">
        <v>93</v>
      </c>
      <c r="L351" s="6">
        <f>IFERROR(HLOOKUP($I351,Reference!$B$1:$E$2,2,FALSE),0)</f>
        <v>0</v>
      </c>
      <c r="M351" s="7">
        <f t="shared" si="0"/>
        <v>46023</v>
      </c>
      <c r="N351" s="3" t="str">
        <f t="shared" si="1"/>
        <v>Regular</v>
      </c>
    </row>
    <row r="352" customHeight="1" spans="1:14">
      <c r="A352" s="1" t="s">
        <v>405</v>
      </c>
      <c r="B352" s="1">
        <v>24</v>
      </c>
      <c r="C352" s="1">
        <v>26</v>
      </c>
      <c r="D352" s="3" t="str">
        <f>IFERROR(VLOOKUP($C352,merchants!$A$1:$D$41,2,FALSE),"Merchant not found")</f>
        <v>Merchant_026</v>
      </c>
      <c r="E352" s="3" t="str">
        <f>IFERROR(VLOOKUP($C352,merchants!$A$1:$D$41,3,FALSE),"Merchant not found")</f>
        <v>food_delivery</v>
      </c>
      <c r="F352" s="3" t="str">
        <f>IFERROR(VLOOKUP($C352,merchants!$A$1:$D$41,4,FALSE),"Merchant not found")</f>
        <v>East</v>
      </c>
      <c r="G352" s="5">
        <v>46034.5159722222</v>
      </c>
      <c r="H352" s="1">
        <v>299</v>
      </c>
      <c r="I352" s="1" t="s">
        <v>55</v>
      </c>
      <c r="J352" s="1" t="s">
        <v>50</v>
      </c>
      <c r="K352" s="1">
        <v>6</v>
      </c>
      <c r="L352" s="6">
        <f>IFERROR(HLOOKUP($I352,Reference!$B$1:$E$2,2,FALSE),0)</f>
        <v>0.01</v>
      </c>
      <c r="M352" s="7">
        <f t="shared" si="0"/>
        <v>46034</v>
      </c>
      <c r="N352" s="3" t="str">
        <f t="shared" si="1"/>
        <v>Regular</v>
      </c>
    </row>
    <row r="353" customHeight="1" spans="1:14">
      <c r="A353" s="1" t="s">
        <v>406</v>
      </c>
      <c r="B353" s="1">
        <v>186</v>
      </c>
      <c r="C353" s="1">
        <v>36</v>
      </c>
      <c r="D353" s="3" t="str">
        <f>IFERROR(VLOOKUP($C353,merchants!$A$1:$D$41,2,FALSE),"Merchant not found")</f>
        <v>Merchant_036</v>
      </c>
      <c r="E353" s="3" t="str">
        <f>IFERROR(VLOOKUP($C353,merchants!$A$1:$D$41,3,FALSE),"Merchant not found")</f>
        <v>entertainment</v>
      </c>
      <c r="F353" s="3" t="str">
        <f>IFERROR(VLOOKUP($C353,merchants!$A$1:$D$41,4,FALSE),"Merchant not found")</f>
        <v>East</v>
      </c>
      <c r="G353" s="5">
        <v>46041.7166666667</v>
      </c>
      <c r="H353" s="1">
        <v>4999</v>
      </c>
      <c r="I353" s="1" t="s">
        <v>52</v>
      </c>
      <c r="J353" s="1" t="s">
        <v>50</v>
      </c>
      <c r="K353" s="1">
        <v>36</v>
      </c>
      <c r="L353" s="6">
        <f>IFERROR(HLOOKUP($I353,Reference!$B$1:$E$2,2,FALSE),0)</f>
        <v>0</v>
      </c>
      <c r="M353" s="7">
        <f t="shared" si="0"/>
        <v>46041</v>
      </c>
      <c r="N353" s="3" t="str">
        <f t="shared" si="1"/>
        <v>Regular</v>
      </c>
    </row>
    <row r="354" customHeight="1" spans="1:14">
      <c r="A354" s="1" t="s">
        <v>407</v>
      </c>
      <c r="B354" s="1">
        <v>231</v>
      </c>
      <c r="C354" s="1">
        <v>36</v>
      </c>
      <c r="D354" s="3" t="str">
        <f>IFERROR(VLOOKUP($C354,merchants!$A$1:$D$41,2,FALSE),"Merchant not found")</f>
        <v>Merchant_036</v>
      </c>
      <c r="E354" s="3" t="str">
        <f>IFERROR(VLOOKUP($C354,merchants!$A$1:$D$41,3,FALSE),"Merchant not found")</f>
        <v>entertainment</v>
      </c>
      <c r="F354" s="3" t="str">
        <f>IFERROR(VLOOKUP($C354,merchants!$A$1:$D$41,4,FALSE),"Merchant not found")</f>
        <v>East</v>
      </c>
      <c r="G354" s="5">
        <v>46025.5222222222</v>
      </c>
      <c r="H354" s="1">
        <v>149</v>
      </c>
      <c r="I354" s="1" t="s">
        <v>52</v>
      </c>
      <c r="J354" s="1" t="s">
        <v>50</v>
      </c>
      <c r="K354" s="1">
        <v>35</v>
      </c>
      <c r="L354" s="6">
        <f>IFERROR(HLOOKUP($I354,Reference!$B$1:$E$2,2,FALSE),0)</f>
        <v>0</v>
      </c>
      <c r="M354" s="7">
        <f t="shared" si="0"/>
        <v>46025</v>
      </c>
      <c r="N354" s="3" t="str">
        <f t="shared" si="1"/>
        <v>Regular</v>
      </c>
    </row>
    <row r="355" customHeight="1" spans="1:14">
      <c r="A355" s="1" t="s">
        <v>408</v>
      </c>
      <c r="B355" s="1">
        <v>313</v>
      </c>
      <c r="C355" s="1">
        <v>8</v>
      </c>
      <c r="D355" s="3" t="str">
        <f>IFERROR(VLOOKUP($C355,merchants!$A$1:$D$41,2,FALSE),"Merchant not found")</f>
        <v>Merchant_008</v>
      </c>
      <c r="E355" s="3" t="str">
        <f>IFERROR(VLOOKUP($C355,merchants!$A$1:$D$41,3,FALSE),"Merchant not found")</f>
        <v>food_delivery</v>
      </c>
      <c r="F355" s="3" t="str">
        <f>IFERROR(VLOOKUP($C355,merchants!$A$1:$D$41,4,FALSE),"Merchant not found")</f>
        <v>North</v>
      </c>
      <c r="G355" s="5">
        <v>46049.8215277778</v>
      </c>
      <c r="H355" s="1">
        <v>1499</v>
      </c>
      <c r="I355" s="1" t="s">
        <v>55</v>
      </c>
      <c r="J355" s="1" t="s">
        <v>50</v>
      </c>
      <c r="K355" s="1">
        <v>16</v>
      </c>
      <c r="L355" s="6">
        <f>IFERROR(HLOOKUP($I355,Reference!$B$1:$E$2,2,FALSE),0)</f>
        <v>0.01</v>
      </c>
      <c r="M355" s="7">
        <f t="shared" si="0"/>
        <v>46049</v>
      </c>
      <c r="N355" s="3" t="str">
        <f t="shared" si="1"/>
        <v>Regular</v>
      </c>
    </row>
    <row r="356" customHeight="1" spans="1:14">
      <c r="A356" s="1" t="s">
        <v>409</v>
      </c>
      <c r="B356" s="1">
        <v>174</v>
      </c>
      <c r="C356" s="1">
        <v>36</v>
      </c>
      <c r="D356" s="3" t="str">
        <f>IFERROR(VLOOKUP($C356,merchants!$A$1:$D$41,2,FALSE),"Merchant not found")</f>
        <v>Merchant_036</v>
      </c>
      <c r="E356" s="3" t="str">
        <f>IFERROR(VLOOKUP($C356,merchants!$A$1:$D$41,3,FALSE),"Merchant not found")</f>
        <v>entertainment</v>
      </c>
      <c r="F356" s="3" t="str">
        <f>IFERROR(VLOOKUP($C356,merchants!$A$1:$D$41,4,FALSE),"Merchant not found")</f>
        <v>East</v>
      </c>
      <c r="G356" s="5">
        <v>46026.5159722222</v>
      </c>
      <c r="H356" s="1">
        <v>149</v>
      </c>
      <c r="I356" s="1" t="s">
        <v>52</v>
      </c>
      <c r="J356" s="1" t="s">
        <v>50</v>
      </c>
      <c r="K356" s="1">
        <v>46</v>
      </c>
      <c r="L356" s="6">
        <f>IFERROR(HLOOKUP($I356,Reference!$B$1:$E$2,2,FALSE),0)</f>
        <v>0</v>
      </c>
      <c r="M356" s="7">
        <f t="shared" si="0"/>
        <v>46026</v>
      </c>
      <c r="N356" s="3" t="str">
        <f t="shared" si="1"/>
        <v>Regular</v>
      </c>
    </row>
    <row r="357" customHeight="1" spans="1:14">
      <c r="A357" s="1" t="s">
        <v>410</v>
      </c>
      <c r="B357" s="1">
        <v>309</v>
      </c>
      <c r="C357" s="1">
        <v>33</v>
      </c>
      <c r="D357" s="3" t="str">
        <f>IFERROR(VLOOKUP($C357,merchants!$A$1:$D$41,2,FALSE),"Merchant not found")</f>
        <v>Merchant_033</v>
      </c>
      <c r="E357" s="3" t="str">
        <f>IFERROR(VLOOKUP($C357,merchants!$A$1:$D$41,3,FALSE),"Merchant not found")</f>
        <v>bill_payment</v>
      </c>
      <c r="F357" s="3" t="str">
        <f>IFERROR(VLOOKUP($C357,merchants!$A$1:$D$41,4,FALSE),"Merchant not found")</f>
        <v>East</v>
      </c>
      <c r="G357" s="5">
        <v>46047.175</v>
      </c>
      <c r="H357" s="1">
        <v>99</v>
      </c>
      <c r="I357" s="1" t="s">
        <v>52</v>
      </c>
      <c r="J357" s="1" t="s">
        <v>50</v>
      </c>
      <c r="K357" s="1">
        <v>51</v>
      </c>
      <c r="L357" s="6">
        <f>IFERROR(HLOOKUP($I357,Reference!$B$1:$E$2,2,FALSE),0)</f>
        <v>0</v>
      </c>
      <c r="M357" s="7">
        <f t="shared" si="0"/>
        <v>46047</v>
      </c>
      <c r="N357" s="3" t="str">
        <f t="shared" si="1"/>
        <v>Regular</v>
      </c>
    </row>
    <row r="358" customHeight="1" spans="1:14">
      <c r="A358" s="1" t="s">
        <v>411</v>
      </c>
      <c r="B358" s="1">
        <v>20</v>
      </c>
      <c r="C358" s="1">
        <v>9</v>
      </c>
      <c r="D358" s="3" t="str">
        <f>IFERROR(VLOOKUP($C358,merchants!$A$1:$D$41,2,FALSE),"Merchant not found")</f>
        <v>Merchant_009</v>
      </c>
      <c r="E358" s="3" t="str">
        <f>IFERROR(VLOOKUP($C358,merchants!$A$1:$D$41,3,FALSE),"Merchant not found")</f>
        <v>ecommerce</v>
      </c>
      <c r="F358" s="3" t="str">
        <f>IFERROR(VLOOKUP($C358,merchants!$A$1:$D$41,4,FALSE),"Merchant not found")</f>
        <v>North</v>
      </c>
      <c r="G358" s="5">
        <v>46039.0430555556</v>
      </c>
      <c r="H358" s="1">
        <v>99</v>
      </c>
      <c r="I358" s="1" t="s">
        <v>52</v>
      </c>
      <c r="J358" s="1" t="s">
        <v>50</v>
      </c>
      <c r="K358" s="1">
        <v>91</v>
      </c>
      <c r="L358" s="6">
        <f>IFERROR(HLOOKUP($I358,Reference!$B$1:$E$2,2,FALSE),0)</f>
        <v>0</v>
      </c>
      <c r="M358" s="7">
        <f t="shared" si="0"/>
        <v>46039</v>
      </c>
      <c r="N358" s="3" t="str">
        <f t="shared" si="1"/>
        <v>Regular</v>
      </c>
    </row>
    <row r="359" customHeight="1" spans="1:14">
      <c r="A359" s="1" t="s">
        <v>412</v>
      </c>
      <c r="B359" s="1">
        <v>234</v>
      </c>
      <c r="C359" s="1">
        <v>10</v>
      </c>
      <c r="D359" s="3" t="str">
        <f>IFERROR(VLOOKUP($C359,merchants!$A$1:$D$41,2,FALSE),"Merchant not found")</f>
        <v>Merchant_010</v>
      </c>
      <c r="E359" s="3" t="str">
        <f>IFERROR(VLOOKUP($C359,merchants!$A$1:$D$41,3,FALSE),"Merchant not found")</f>
        <v>grocery</v>
      </c>
      <c r="F359" s="3" t="str">
        <f>IFERROR(VLOOKUP($C359,merchants!$A$1:$D$41,4,FALSE),"Merchant not found")</f>
        <v>West</v>
      </c>
      <c r="G359" s="5">
        <v>46033.6479166667</v>
      </c>
      <c r="H359" s="1">
        <v>49</v>
      </c>
      <c r="I359" s="1" t="s">
        <v>52</v>
      </c>
      <c r="J359" s="1" t="s">
        <v>50</v>
      </c>
      <c r="K359" s="1">
        <v>77</v>
      </c>
      <c r="L359" s="6">
        <f>IFERROR(HLOOKUP($I359,Reference!$B$1:$E$2,2,FALSE),0)</f>
        <v>0</v>
      </c>
      <c r="M359" s="7">
        <f t="shared" si="0"/>
        <v>46033</v>
      </c>
      <c r="N359" s="3" t="str">
        <f t="shared" si="1"/>
        <v>Regular</v>
      </c>
    </row>
    <row r="360" customHeight="1" spans="1:14">
      <c r="A360" s="1" t="s">
        <v>413</v>
      </c>
      <c r="B360" s="1">
        <v>168</v>
      </c>
      <c r="C360" s="1">
        <v>40</v>
      </c>
      <c r="D360" s="3" t="str">
        <f>IFERROR(VLOOKUP($C360,merchants!$A$1:$D$41,2,FALSE),"Merchant not found")</f>
        <v>Merchant_040</v>
      </c>
      <c r="E360" s="3" t="str">
        <f>IFERROR(VLOOKUP($C360,merchants!$A$1:$D$41,3,FALSE),"Merchant not found")</f>
        <v>entertainment</v>
      </c>
      <c r="F360" s="3" t="str">
        <f>IFERROR(VLOOKUP($C360,merchants!$A$1:$D$41,4,FALSE),"Merchant not found")</f>
        <v>South</v>
      </c>
      <c r="G360" s="5">
        <v>46051.6722222222</v>
      </c>
      <c r="H360" s="1">
        <v>149</v>
      </c>
      <c r="I360" s="1" t="s">
        <v>52</v>
      </c>
      <c r="J360" s="1" t="s">
        <v>78</v>
      </c>
      <c r="K360" s="1">
        <v>40</v>
      </c>
      <c r="L360" s="6">
        <f>IFERROR(HLOOKUP($I360,Reference!$B$1:$E$2,2,FALSE),0)</f>
        <v>0</v>
      </c>
      <c r="M360" s="7">
        <f t="shared" si="0"/>
        <v>46051</v>
      </c>
      <c r="N360" s="3" t="str">
        <f t="shared" si="1"/>
        <v>Regular</v>
      </c>
    </row>
    <row r="361" customHeight="1" spans="1:14">
      <c r="A361" s="1" t="s">
        <v>414</v>
      </c>
      <c r="B361" s="1">
        <v>154</v>
      </c>
      <c r="C361" s="1">
        <v>38</v>
      </c>
      <c r="D361" s="3" t="str">
        <f>IFERROR(VLOOKUP($C361,merchants!$A$1:$D$41,2,FALSE),"Merchant not found")</f>
        <v>Merchant_038</v>
      </c>
      <c r="E361" s="3" t="str">
        <f>IFERROR(VLOOKUP($C361,merchants!$A$1:$D$41,3,FALSE),"Merchant not found")</f>
        <v>grocery</v>
      </c>
      <c r="F361" s="3" t="str">
        <f>IFERROR(VLOOKUP($C361,merchants!$A$1:$D$41,4,FALSE),"Merchant not found")</f>
        <v>East</v>
      </c>
      <c r="G361" s="5">
        <v>46028.5270833333</v>
      </c>
      <c r="H361" s="1">
        <v>99</v>
      </c>
      <c r="I361" s="1" t="s">
        <v>55</v>
      </c>
      <c r="J361" s="1" t="s">
        <v>50</v>
      </c>
      <c r="K361" s="1">
        <v>43</v>
      </c>
      <c r="L361" s="6">
        <f>IFERROR(HLOOKUP($I361,Reference!$B$1:$E$2,2,FALSE),0)</f>
        <v>0.01</v>
      </c>
      <c r="M361" s="7">
        <f t="shared" si="0"/>
        <v>46028</v>
      </c>
      <c r="N361" s="3" t="str">
        <f t="shared" si="1"/>
        <v>Regular</v>
      </c>
    </row>
    <row r="362" customHeight="1" spans="1:14">
      <c r="A362" s="1" t="s">
        <v>415</v>
      </c>
      <c r="B362" s="1">
        <v>251</v>
      </c>
      <c r="C362" s="1">
        <v>37</v>
      </c>
      <c r="D362" s="3" t="str">
        <f>IFERROR(VLOOKUP($C362,merchants!$A$1:$D$41,2,FALSE),"Merchant not found")</f>
        <v>Merchant_037</v>
      </c>
      <c r="E362" s="3" t="str">
        <f>IFERROR(VLOOKUP($C362,merchants!$A$1:$D$41,3,FALSE),"Merchant not found")</f>
        <v>entertainment</v>
      </c>
      <c r="F362" s="3" t="str">
        <f>IFERROR(VLOOKUP($C362,merchants!$A$1:$D$41,4,FALSE),"Merchant not found")</f>
        <v>South</v>
      </c>
      <c r="G362" s="5">
        <v>46039.6902777778</v>
      </c>
      <c r="H362" s="1">
        <v>49</v>
      </c>
      <c r="I362" s="1" t="s">
        <v>52</v>
      </c>
      <c r="J362" s="1" t="s">
        <v>50</v>
      </c>
      <c r="K362" s="1">
        <v>38</v>
      </c>
      <c r="L362" s="6">
        <f>IFERROR(HLOOKUP($I362,Reference!$B$1:$E$2,2,FALSE),0)</f>
        <v>0</v>
      </c>
      <c r="M362" s="7">
        <f t="shared" si="0"/>
        <v>46039</v>
      </c>
      <c r="N362" s="3" t="str">
        <f t="shared" si="1"/>
        <v>Regular</v>
      </c>
    </row>
    <row r="363" customHeight="1" spans="1:14">
      <c r="A363" s="1" t="s">
        <v>416</v>
      </c>
      <c r="B363" s="1">
        <v>170</v>
      </c>
      <c r="C363" s="1">
        <v>8</v>
      </c>
      <c r="D363" s="3" t="str">
        <f>IFERROR(VLOOKUP($C363,merchants!$A$1:$D$41,2,FALSE),"Merchant not found")</f>
        <v>Merchant_008</v>
      </c>
      <c r="E363" s="3" t="str">
        <f>IFERROR(VLOOKUP($C363,merchants!$A$1:$D$41,3,FALSE),"Merchant not found")</f>
        <v>food_delivery</v>
      </c>
      <c r="F363" s="3" t="str">
        <f>IFERROR(VLOOKUP($C363,merchants!$A$1:$D$41,4,FALSE),"Merchant not found")</f>
        <v>North</v>
      </c>
      <c r="G363" s="5">
        <v>46038.0159722222</v>
      </c>
      <c r="H363" s="1">
        <v>2999</v>
      </c>
      <c r="I363" s="1" t="s">
        <v>52</v>
      </c>
      <c r="J363" s="1" t="s">
        <v>50</v>
      </c>
      <c r="K363" s="1">
        <v>53</v>
      </c>
      <c r="L363" s="6">
        <f>IFERROR(HLOOKUP($I363,Reference!$B$1:$E$2,2,FALSE),0)</f>
        <v>0</v>
      </c>
      <c r="M363" s="7">
        <f t="shared" si="0"/>
        <v>46038</v>
      </c>
      <c r="N363" s="3" t="str">
        <f t="shared" si="1"/>
        <v>Regular</v>
      </c>
    </row>
    <row r="364" customHeight="1" spans="1:14">
      <c r="A364" s="1" t="s">
        <v>417</v>
      </c>
      <c r="B364" s="1">
        <v>323</v>
      </c>
      <c r="C364" s="1">
        <v>2</v>
      </c>
      <c r="D364" s="3" t="str">
        <f>IFERROR(VLOOKUP($C364,merchants!$A$1:$D$41,2,FALSE),"Merchant not found")</f>
        <v>Merchant_002</v>
      </c>
      <c r="E364" s="3" t="str">
        <f>IFERROR(VLOOKUP($C364,merchants!$A$1:$D$41,3,FALSE),"Merchant not found")</f>
        <v>grocery</v>
      </c>
      <c r="F364" s="3" t="str">
        <f>IFERROR(VLOOKUP($C364,merchants!$A$1:$D$41,4,FALSE),"Merchant not found")</f>
        <v>West</v>
      </c>
      <c r="G364" s="5">
        <v>46041.4097222222</v>
      </c>
      <c r="H364" s="1">
        <v>49</v>
      </c>
      <c r="I364" s="1" t="s">
        <v>55</v>
      </c>
      <c r="J364" s="1" t="s">
        <v>50</v>
      </c>
      <c r="K364" s="1">
        <v>76</v>
      </c>
      <c r="L364" s="6">
        <f>IFERROR(HLOOKUP($I364,Reference!$B$1:$E$2,2,FALSE),0)</f>
        <v>0.01</v>
      </c>
      <c r="M364" s="7">
        <f t="shared" si="0"/>
        <v>46041</v>
      </c>
      <c r="N364" s="3" t="str">
        <f t="shared" si="1"/>
        <v>Regular</v>
      </c>
    </row>
    <row r="365" customHeight="1" spans="1:14">
      <c r="A365" s="1" t="s">
        <v>418</v>
      </c>
      <c r="B365" s="1">
        <v>297</v>
      </c>
      <c r="C365" s="1">
        <v>37</v>
      </c>
      <c r="D365" s="3" t="str">
        <f>IFERROR(VLOOKUP($C365,merchants!$A$1:$D$41,2,FALSE),"Merchant not found")</f>
        <v>Merchant_037</v>
      </c>
      <c r="E365" s="3" t="str">
        <f>IFERROR(VLOOKUP($C365,merchants!$A$1:$D$41,3,FALSE),"Merchant not found")</f>
        <v>entertainment</v>
      </c>
      <c r="F365" s="3" t="str">
        <f>IFERROR(VLOOKUP($C365,merchants!$A$1:$D$41,4,FALSE),"Merchant not found")</f>
        <v>South</v>
      </c>
      <c r="G365" s="5">
        <v>46038.3618055556</v>
      </c>
      <c r="H365" s="1">
        <v>2999</v>
      </c>
      <c r="I365" s="1" t="s">
        <v>49</v>
      </c>
      <c r="J365" s="1" t="s">
        <v>50</v>
      </c>
      <c r="K365" s="1">
        <v>29</v>
      </c>
      <c r="L365" s="6">
        <f>IFERROR(HLOOKUP($I365,Reference!$B$1:$E$2,2,FALSE),0)</f>
        <v>0.015</v>
      </c>
      <c r="M365" s="7">
        <f t="shared" si="0"/>
        <v>46038</v>
      </c>
      <c r="N365" s="3" t="str">
        <f t="shared" si="1"/>
        <v>Regular</v>
      </c>
    </row>
    <row r="366" customHeight="1" spans="1:14">
      <c r="A366" s="1" t="s">
        <v>419</v>
      </c>
      <c r="B366" s="1">
        <v>246</v>
      </c>
      <c r="C366" s="1">
        <v>11</v>
      </c>
      <c r="D366" s="3" t="str">
        <f>IFERROR(VLOOKUP($C366,merchants!$A$1:$D$41,2,FALSE),"Merchant not found")</f>
        <v>Merchant_011</v>
      </c>
      <c r="E366" s="3" t="str">
        <f>IFERROR(VLOOKUP($C366,merchants!$A$1:$D$41,3,FALSE),"Merchant not found")</f>
        <v>ecommerce</v>
      </c>
      <c r="F366" s="3" t="str">
        <f>IFERROR(VLOOKUP($C366,merchants!$A$1:$D$41,4,FALSE),"Merchant not found")</f>
        <v>North</v>
      </c>
      <c r="G366" s="5">
        <v>46046.0673611111</v>
      </c>
      <c r="H366" s="1">
        <v>299</v>
      </c>
      <c r="I366" s="1" t="s">
        <v>52</v>
      </c>
      <c r="J366" s="1" t="s">
        <v>50</v>
      </c>
      <c r="K366" s="1">
        <v>67</v>
      </c>
      <c r="L366" s="6">
        <f>IFERROR(HLOOKUP($I366,Reference!$B$1:$E$2,2,FALSE),0)</f>
        <v>0</v>
      </c>
      <c r="M366" s="7">
        <f t="shared" si="0"/>
        <v>46046</v>
      </c>
      <c r="N366" s="3" t="str">
        <f t="shared" si="1"/>
        <v>Regular</v>
      </c>
    </row>
    <row r="367" customHeight="1" spans="1:14">
      <c r="A367" s="1" t="s">
        <v>420</v>
      </c>
      <c r="B367" s="1">
        <v>195</v>
      </c>
      <c r="C367" s="1">
        <v>10</v>
      </c>
      <c r="D367" s="3" t="str">
        <f>IFERROR(VLOOKUP($C367,merchants!$A$1:$D$41,2,FALSE),"Merchant not found")</f>
        <v>Merchant_010</v>
      </c>
      <c r="E367" s="3" t="str">
        <f>IFERROR(VLOOKUP($C367,merchants!$A$1:$D$41,3,FALSE),"Merchant not found")</f>
        <v>grocery</v>
      </c>
      <c r="F367" s="3" t="str">
        <f>IFERROR(VLOOKUP($C367,merchants!$A$1:$D$41,4,FALSE),"Merchant not found")</f>
        <v>West</v>
      </c>
      <c r="G367" s="5">
        <v>46043.9854166667</v>
      </c>
      <c r="H367" s="1">
        <v>99</v>
      </c>
      <c r="I367" s="1" t="s">
        <v>52</v>
      </c>
      <c r="J367" s="1" t="s">
        <v>50</v>
      </c>
      <c r="K367" s="1">
        <v>87</v>
      </c>
      <c r="L367" s="6">
        <f>IFERROR(HLOOKUP($I367,Reference!$B$1:$E$2,2,FALSE),0)</f>
        <v>0</v>
      </c>
      <c r="M367" s="7">
        <f t="shared" si="0"/>
        <v>46043</v>
      </c>
      <c r="N367" s="3" t="str">
        <f t="shared" si="1"/>
        <v>Regular</v>
      </c>
    </row>
    <row r="368" customHeight="1" spans="1:14">
      <c r="A368" s="1" t="s">
        <v>421</v>
      </c>
      <c r="B368" s="1">
        <v>57</v>
      </c>
      <c r="C368" s="1">
        <v>13</v>
      </c>
      <c r="D368" s="3" t="str">
        <f>IFERROR(VLOOKUP($C368,merchants!$A$1:$D$41,2,FALSE),"Merchant not found")</f>
        <v>Merchant_013</v>
      </c>
      <c r="E368" s="3" t="str">
        <f>IFERROR(VLOOKUP($C368,merchants!$A$1:$D$41,3,FALSE),"Merchant not found")</f>
        <v>travel</v>
      </c>
      <c r="F368" s="3" t="str">
        <f>IFERROR(VLOOKUP($C368,merchants!$A$1:$D$41,4,FALSE),"Merchant not found")</f>
        <v>East</v>
      </c>
      <c r="G368" s="5">
        <v>46030.0666666667</v>
      </c>
      <c r="H368" s="1">
        <v>149</v>
      </c>
      <c r="I368" s="1" t="s">
        <v>52</v>
      </c>
      <c r="J368" s="1" t="s">
        <v>50</v>
      </c>
      <c r="K368" s="1">
        <v>2</v>
      </c>
      <c r="L368" s="6">
        <f>IFERROR(HLOOKUP($I368,Reference!$B$1:$E$2,2,FALSE),0)</f>
        <v>0</v>
      </c>
      <c r="M368" s="7">
        <f t="shared" si="0"/>
        <v>46030</v>
      </c>
      <c r="N368" s="3" t="str">
        <f t="shared" si="1"/>
        <v>Regular</v>
      </c>
    </row>
    <row r="369" customHeight="1" spans="1:14">
      <c r="A369" s="1" t="s">
        <v>422</v>
      </c>
      <c r="B369" s="1">
        <v>78</v>
      </c>
      <c r="C369" s="1">
        <v>27</v>
      </c>
      <c r="D369" s="3" t="str">
        <f>IFERROR(VLOOKUP($C369,merchants!$A$1:$D$41,2,FALSE),"Merchant not found")</f>
        <v>Merchant_027</v>
      </c>
      <c r="E369" s="3" t="str">
        <f>IFERROR(VLOOKUP($C369,merchants!$A$1:$D$41,3,FALSE),"Merchant not found")</f>
        <v>ecommerce</v>
      </c>
      <c r="F369" s="3" t="str">
        <f>IFERROR(VLOOKUP($C369,merchants!$A$1:$D$41,4,FALSE),"Merchant not found")</f>
        <v>North</v>
      </c>
      <c r="G369" s="5">
        <v>46037.4347222222</v>
      </c>
      <c r="H369" s="1">
        <v>1499</v>
      </c>
      <c r="I369" s="1" t="s">
        <v>55</v>
      </c>
      <c r="J369" s="1" t="s">
        <v>65</v>
      </c>
      <c r="K369" s="1">
        <v>88</v>
      </c>
      <c r="L369" s="6">
        <f>IFERROR(HLOOKUP($I369,Reference!$B$1:$E$2,2,FALSE),0)</f>
        <v>0.01</v>
      </c>
      <c r="M369" s="7">
        <f t="shared" si="0"/>
        <v>46037</v>
      </c>
      <c r="N369" s="3" t="str">
        <f t="shared" si="1"/>
        <v>Regular</v>
      </c>
    </row>
    <row r="370" customHeight="1" spans="1:14">
      <c r="A370" s="1" t="s">
        <v>423</v>
      </c>
      <c r="B370" s="1">
        <v>314</v>
      </c>
      <c r="C370" s="1">
        <v>31</v>
      </c>
      <c r="D370" s="3" t="str">
        <f>IFERROR(VLOOKUP($C370,merchants!$A$1:$D$41,2,FALSE),"Merchant not found")</f>
        <v>Merchant_031</v>
      </c>
      <c r="E370" s="3" t="str">
        <f>IFERROR(VLOOKUP($C370,merchants!$A$1:$D$41,3,FALSE),"Merchant not found")</f>
        <v>bill_payment</v>
      </c>
      <c r="F370" s="3" t="str">
        <f>IFERROR(VLOOKUP($C370,merchants!$A$1:$D$41,4,FALSE),"Merchant not found")</f>
        <v>East</v>
      </c>
      <c r="G370" s="5">
        <v>46029.5638888889</v>
      </c>
      <c r="H370" s="1">
        <v>49</v>
      </c>
      <c r="I370" s="1" t="s">
        <v>52</v>
      </c>
      <c r="J370" s="1" t="s">
        <v>78</v>
      </c>
      <c r="K370" s="1">
        <v>94</v>
      </c>
      <c r="L370" s="6">
        <f>IFERROR(HLOOKUP($I370,Reference!$B$1:$E$2,2,FALSE),0)</f>
        <v>0</v>
      </c>
      <c r="M370" s="7">
        <f t="shared" si="0"/>
        <v>46029</v>
      </c>
      <c r="N370" s="3" t="str">
        <f t="shared" si="1"/>
        <v>Regular</v>
      </c>
    </row>
    <row r="371" customHeight="1" spans="1:14">
      <c r="A371" s="1" t="s">
        <v>424</v>
      </c>
      <c r="B371" s="1">
        <v>71</v>
      </c>
      <c r="C371" s="1">
        <v>34</v>
      </c>
      <c r="D371" s="3" t="str">
        <f>IFERROR(VLOOKUP($C371,merchants!$A$1:$D$41,2,FALSE),"Merchant not found")</f>
        <v>Merchant_034</v>
      </c>
      <c r="E371" s="3" t="str">
        <f>IFERROR(VLOOKUP($C371,merchants!$A$1:$D$41,3,FALSE),"Merchant not found")</f>
        <v>travel</v>
      </c>
      <c r="F371" s="3" t="str">
        <f>IFERROR(VLOOKUP($C371,merchants!$A$1:$D$41,4,FALSE),"Merchant not found")</f>
        <v>South</v>
      </c>
      <c r="G371" s="5">
        <v>46046.0729166667</v>
      </c>
      <c r="H371" s="1">
        <v>499</v>
      </c>
      <c r="I371" s="1" t="s">
        <v>52</v>
      </c>
      <c r="J371" s="1" t="s">
        <v>50</v>
      </c>
      <c r="K371" s="1">
        <v>26</v>
      </c>
      <c r="L371" s="6">
        <f>IFERROR(HLOOKUP($I371,Reference!$B$1:$E$2,2,FALSE),0)</f>
        <v>0</v>
      </c>
      <c r="M371" s="7">
        <f t="shared" si="0"/>
        <v>46046</v>
      </c>
      <c r="N371" s="3" t="str">
        <f t="shared" si="1"/>
        <v>Regular</v>
      </c>
    </row>
    <row r="372" customHeight="1" spans="1:14">
      <c r="A372" s="1" t="s">
        <v>425</v>
      </c>
      <c r="B372" s="1">
        <v>245</v>
      </c>
      <c r="C372" s="1">
        <v>34</v>
      </c>
      <c r="D372" s="3" t="str">
        <f>IFERROR(VLOOKUP($C372,merchants!$A$1:$D$41,2,FALSE),"Merchant not found")</f>
        <v>Merchant_034</v>
      </c>
      <c r="E372" s="3" t="str">
        <f>IFERROR(VLOOKUP($C372,merchants!$A$1:$D$41,3,FALSE),"Merchant not found")</f>
        <v>travel</v>
      </c>
      <c r="F372" s="3" t="str">
        <f>IFERROR(VLOOKUP($C372,merchants!$A$1:$D$41,4,FALSE),"Merchant not found")</f>
        <v>South</v>
      </c>
      <c r="G372" s="5">
        <v>46040.4458333333</v>
      </c>
      <c r="H372" s="1">
        <v>99</v>
      </c>
      <c r="I372" s="1" t="s">
        <v>52</v>
      </c>
      <c r="J372" s="1" t="s">
        <v>50</v>
      </c>
      <c r="K372" s="1">
        <v>48</v>
      </c>
      <c r="L372" s="6">
        <f>IFERROR(HLOOKUP($I372,Reference!$B$1:$E$2,2,FALSE),0)</f>
        <v>0</v>
      </c>
      <c r="M372" s="7">
        <f t="shared" si="0"/>
        <v>46040</v>
      </c>
      <c r="N372" s="3" t="str">
        <f t="shared" si="1"/>
        <v>Regular</v>
      </c>
    </row>
    <row r="373" customHeight="1" spans="1:14">
      <c r="A373" s="1" t="s">
        <v>426</v>
      </c>
      <c r="B373" s="1">
        <v>273</v>
      </c>
      <c r="C373" s="1">
        <v>22</v>
      </c>
      <c r="D373" s="3" t="str">
        <f>IFERROR(VLOOKUP($C373,merchants!$A$1:$D$41,2,FALSE),"Merchant not found")</f>
        <v>Merchant_022</v>
      </c>
      <c r="E373" s="3" t="str">
        <f>IFERROR(VLOOKUP($C373,merchants!$A$1:$D$41,3,FALSE),"Merchant not found")</f>
        <v>travel</v>
      </c>
      <c r="F373" s="3" t="str">
        <f>IFERROR(VLOOKUP($C373,merchants!$A$1:$D$41,4,FALSE),"Merchant not found")</f>
        <v>South</v>
      </c>
      <c r="G373" s="5">
        <v>46033.2284722222</v>
      </c>
      <c r="H373" s="1">
        <v>299</v>
      </c>
      <c r="I373" s="1" t="s">
        <v>49</v>
      </c>
      <c r="J373" s="1" t="s">
        <v>50</v>
      </c>
      <c r="K373" s="1">
        <v>69</v>
      </c>
      <c r="L373" s="6">
        <f>IFERROR(HLOOKUP($I373,Reference!$B$1:$E$2,2,FALSE),0)</f>
        <v>0.015</v>
      </c>
      <c r="M373" s="7">
        <f t="shared" si="0"/>
        <v>46033</v>
      </c>
      <c r="N373" s="3" t="str">
        <f t="shared" si="1"/>
        <v>Regular</v>
      </c>
    </row>
    <row r="374" customHeight="1" spans="1:14">
      <c r="A374" s="1" t="s">
        <v>427</v>
      </c>
      <c r="B374" s="1">
        <v>349</v>
      </c>
      <c r="C374" s="1">
        <v>17</v>
      </c>
      <c r="D374" s="3" t="str">
        <f>IFERROR(VLOOKUP($C374,merchants!$A$1:$D$41,2,FALSE),"Merchant not found")</f>
        <v>Merchant_017</v>
      </c>
      <c r="E374" s="3" t="str">
        <f>IFERROR(VLOOKUP($C374,merchants!$A$1:$D$41,3,FALSE),"Merchant not found")</f>
        <v>grocery</v>
      </c>
      <c r="F374" s="3" t="str">
        <f>IFERROR(VLOOKUP($C374,merchants!$A$1:$D$41,4,FALSE),"Merchant not found")</f>
        <v>North</v>
      </c>
      <c r="G374" s="5">
        <v>46034.9090277778</v>
      </c>
      <c r="H374" s="1">
        <v>1499</v>
      </c>
      <c r="I374" s="1" t="s">
        <v>52</v>
      </c>
      <c r="J374" s="1" t="s">
        <v>50</v>
      </c>
      <c r="K374" s="1">
        <v>78</v>
      </c>
      <c r="L374" s="6">
        <f>IFERROR(HLOOKUP($I374,Reference!$B$1:$E$2,2,FALSE),0)</f>
        <v>0</v>
      </c>
      <c r="M374" s="7">
        <f t="shared" si="0"/>
        <v>46034</v>
      </c>
      <c r="N374" s="3" t="str">
        <f t="shared" si="1"/>
        <v>Regular</v>
      </c>
    </row>
    <row r="375" customHeight="1" spans="1:14">
      <c r="A375" s="1" t="s">
        <v>428</v>
      </c>
      <c r="B375" s="1">
        <v>143</v>
      </c>
      <c r="C375" s="1">
        <v>36</v>
      </c>
      <c r="D375" s="3" t="str">
        <f>IFERROR(VLOOKUP($C375,merchants!$A$1:$D$41,2,FALSE),"Merchant not found")</f>
        <v>Merchant_036</v>
      </c>
      <c r="E375" s="3" t="str">
        <f>IFERROR(VLOOKUP($C375,merchants!$A$1:$D$41,3,FALSE),"Merchant not found")</f>
        <v>entertainment</v>
      </c>
      <c r="F375" s="3" t="str">
        <f>IFERROR(VLOOKUP($C375,merchants!$A$1:$D$41,4,FALSE),"Merchant not found")</f>
        <v>East</v>
      </c>
      <c r="G375" s="5">
        <v>46038.2604166667</v>
      </c>
      <c r="H375" s="1">
        <v>1499</v>
      </c>
      <c r="I375" s="1" t="s">
        <v>55</v>
      </c>
      <c r="J375" s="1" t="s">
        <v>50</v>
      </c>
      <c r="K375" s="1">
        <v>38</v>
      </c>
      <c r="L375" s="6">
        <f>IFERROR(HLOOKUP($I375,Reference!$B$1:$E$2,2,FALSE),0)</f>
        <v>0.01</v>
      </c>
      <c r="M375" s="7">
        <f t="shared" si="0"/>
        <v>46038</v>
      </c>
      <c r="N375" s="3" t="str">
        <f t="shared" si="1"/>
        <v>Regular</v>
      </c>
    </row>
    <row r="376" customHeight="1" spans="1:14">
      <c r="A376" s="1" t="s">
        <v>429</v>
      </c>
      <c r="B376" s="1">
        <v>148</v>
      </c>
      <c r="C376" s="1">
        <v>14</v>
      </c>
      <c r="D376" s="3" t="str">
        <f>IFERROR(VLOOKUP($C376,merchants!$A$1:$D$41,2,FALSE),"Merchant not found")</f>
        <v>Merchant_014</v>
      </c>
      <c r="E376" s="3" t="str">
        <f>IFERROR(VLOOKUP($C376,merchants!$A$1:$D$41,3,FALSE),"Merchant not found")</f>
        <v>grocery</v>
      </c>
      <c r="F376" s="3" t="str">
        <f>IFERROR(VLOOKUP($C376,merchants!$A$1:$D$41,4,FALSE),"Merchant not found")</f>
        <v>East</v>
      </c>
      <c r="G376" s="5">
        <v>46030.4090277778</v>
      </c>
      <c r="H376" s="1">
        <v>799</v>
      </c>
      <c r="I376" s="1" t="s">
        <v>49</v>
      </c>
      <c r="J376" s="1" t="s">
        <v>50</v>
      </c>
      <c r="K376" s="1">
        <v>88</v>
      </c>
      <c r="L376" s="6">
        <f>IFERROR(HLOOKUP($I376,Reference!$B$1:$E$2,2,FALSE),0)</f>
        <v>0.015</v>
      </c>
      <c r="M376" s="7">
        <f t="shared" si="0"/>
        <v>46030</v>
      </c>
      <c r="N376" s="3" t="str">
        <f t="shared" si="1"/>
        <v>Regular</v>
      </c>
    </row>
    <row r="377" customHeight="1" spans="1:14">
      <c r="A377" s="1" t="s">
        <v>430</v>
      </c>
      <c r="B377" s="1">
        <v>246</v>
      </c>
      <c r="C377" s="1">
        <v>23</v>
      </c>
      <c r="D377" s="3" t="str">
        <f>IFERROR(VLOOKUP($C377,merchants!$A$1:$D$41,2,FALSE),"Merchant not found")</f>
        <v>Merchant_023</v>
      </c>
      <c r="E377" s="3" t="str">
        <f>IFERROR(VLOOKUP($C377,merchants!$A$1:$D$41,3,FALSE),"Merchant not found")</f>
        <v>travel</v>
      </c>
      <c r="F377" s="3" t="str">
        <f>IFERROR(VLOOKUP($C377,merchants!$A$1:$D$41,4,FALSE),"Merchant not found")</f>
        <v>North</v>
      </c>
      <c r="G377" s="5">
        <v>46045.6388888889</v>
      </c>
      <c r="H377" s="1">
        <v>49</v>
      </c>
      <c r="I377" s="1" t="s">
        <v>52</v>
      </c>
      <c r="J377" s="1" t="s">
        <v>50</v>
      </c>
      <c r="K377" s="1">
        <v>71</v>
      </c>
      <c r="L377" s="6">
        <f>IFERROR(HLOOKUP($I377,Reference!$B$1:$E$2,2,FALSE),0)</f>
        <v>0</v>
      </c>
      <c r="M377" s="7">
        <f t="shared" si="0"/>
        <v>46045</v>
      </c>
      <c r="N377" s="3" t="str">
        <f t="shared" si="1"/>
        <v>Regular</v>
      </c>
    </row>
    <row r="378" customHeight="1" spans="1:14">
      <c r="A378" s="1" t="s">
        <v>431</v>
      </c>
      <c r="B378" s="1">
        <v>148</v>
      </c>
      <c r="C378" s="1">
        <v>8</v>
      </c>
      <c r="D378" s="3" t="str">
        <f>IFERROR(VLOOKUP($C378,merchants!$A$1:$D$41,2,FALSE),"Merchant not found")</f>
        <v>Merchant_008</v>
      </c>
      <c r="E378" s="3" t="str">
        <f>IFERROR(VLOOKUP($C378,merchants!$A$1:$D$41,3,FALSE),"Merchant not found")</f>
        <v>food_delivery</v>
      </c>
      <c r="F378" s="3" t="str">
        <f>IFERROR(VLOOKUP($C378,merchants!$A$1:$D$41,4,FALSE),"Merchant not found")</f>
        <v>North</v>
      </c>
      <c r="G378" s="5">
        <v>46052.9701388889</v>
      </c>
      <c r="H378" s="1">
        <v>99</v>
      </c>
      <c r="I378" s="1" t="s">
        <v>49</v>
      </c>
      <c r="J378" s="1" t="s">
        <v>50</v>
      </c>
      <c r="K378" s="1">
        <v>73</v>
      </c>
      <c r="L378" s="6">
        <f>IFERROR(HLOOKUP($I378,Reference!$B$1:$E$2,2,FALSE),0)</f>
        <v>0.015</v>
      </c>
      <c r="M378" s="7">
        <f t="shared" si="0"/>
        <v>46052</v>
      </c>
      <c r="N378" s="3" t="str">
        <f t="shared" si="1"/>
        <v>Regular</v>
      </c>
    </row>
    <row r="379" customHeight="1" spans="1:14">
      <c r="A379" s="1" t="s">
        <v>432</v>
      </c>
      <c r="B379" s="1">
        <v>203</v>
      </c>
      <c r="C379" s="1">
        <v>23</v>
      </c>
      <c r="D379" s="3" t="str">
        <f>IFERROR(VLOOKUP($C379,merchants!$A$1:$D$41,2,FALSE),"Merchant not found")</f>
        <v>Merchant_023</v>
      </c>
      <c r="E379" s="3" t="str">
        <f>IFERROR(VLOOKUP($C379,merchants!$A$1:$D$41,3,FALSE),"Merchant not found")</f>
        <v>travel</v>
      </c>
      <c r="F379" s="3" t="str">
        <f>IFERROR(VLOOKUP($C379,merchants!$A$1:$D$41,4,FALSE),"Merchant not found")</f>
        <v>North</v>
      </c>
      <c r="G379" s="5">
        <v>46044.725</v>
      </c>
      <c r="H379" s="1">
        <v>49</v>
      </c>
      <c r="I379" s="1" t="s">
        <v>52</v>
      </c>
      <c r="J379" s="1" t="s">
        <v>50</v>
      </c>
      <c r="K379" s="1">
        <v>98</v>
      </c>
      <c r="L379" s="6">
        <f>IFERROR(HLOOKUP($I379,Reference!$B$1:$E$2,2,FALSE),0)</f>
        <v>0</v>
      </c>
      <c r="M379" s="7">
        <f t="shared" si="0"/>
        <v>46044</v>
      </c>
      <c r="N379" s="3" t="str">
        <f t="shared" si="1"/>
        <v>Regular</v>
      </c>
    </row>
    <row r="380" customHeight="1" spans="1:14">
      <c r="A380" s="1" t="s">
        <v>433</v>
      </c>
      <c r="B380" s="1">
        <v>22</v>
      </c>
      <c r="C380" s="1">
        <v>19</v>
      </c>
      <c r="D380" s="3" t="str">
        <f>IFERROR(VLOOKUP($C380,merchants!$A$1:$D$41,2,FALSE),"Merchant not found")</f>
        <v>Merchant_019</v>
      </c>
      <c r="E380" s="3" t="str">
        <f>IFERROR(VLOOKUP($C380,merchants!$A$1:$D$41,3,FALSE),"Merchant not found")</f>
        <v>grocery</v>
      </c>
      <c r="F380" s="3" t="str">
        <f>IFERROR(VLOOKUP($C380,merchants!$A$1:$D$41,4,FALSE),"Merchant not found")</f>
        <v>North</v>
      </c>
      <c r="G380" s="5">
        <v>46048.1791666667</v>
      </c>
      <c r="H380" s="1">
        <v>49</v>
      </c>
      <c r="I380" s="1" t="s">
        <v>64</v>
      </c>
      <c r="J380" s="1" t="s">
        <v>50</v>
      </c>
      <c r="K380" s="1">
        <v>91</v>
      </c>
      <c r="L380" s="6">
        <f>IFERROR(HLOOKUP($I380,Reference!$B$1:$E$2,2,FALSE),0)</f>
        <v>0.02</v>
      </c>
      <c r="M380" s="7">
        <f t="shared" si="0"/>
        <v>46048</v>
      </c>
      <c r="N380" s="3" t="str">
        <f t="shared" si="1"/>
        <v>Regular</v>
      </c>
    </row>
    <row r="381" customHeight="1" spans="1:14">
      <c r="A381" s="1" t="s">
        <v>434</v>
      </c>
      <c r="B381" s="1">
        <v>227</v>
      </c>
      <c r="C381" s="1">
        <v>17</v>
      </c>
      <c r="D381" s="3" t="str">
        <f>IFERROR(VLOOKUP($C381,merchants!$A$1:$D$41,2,FALSE),"Merchant not found")</f>
        <v>Merchant_017</v>
      </c>
      <c r="E381" s="3" t="str">
        <f>IFERROR(VLOOKUP($C381,merchants!$A$1:$D$41,3,FALSE),"Merchant not found")</f>
        <v>grocery</v>
      </c>
      <c r="F381" s="3" t="str">
        <f>IFERROR(VLOOKUP($C381,merchants!$A$1:$D$41,4,FALSE),"Merchant not found")</f>
        <v>North</v>
      </c>
      <c r="G381" s="5">
        <v>46025.4993055556</v>
      </c>
      <c r="H381" s="1">
        <v>299</v>
      </c>
      <c r="I381" s="1" t="s">
        <v>49</v>
      </c>
      <c r="J381" s="1" t="s">
        <v>50</v>
      </c>
      <c r="K381" s="1">
        <v>95</v>
      </c>
      <c r="L381" s="6">
        <f>IFERROR(HLOOKUP($I381,Reference!$B$1:$E$2,2,FALSE),0)</f>
        <v>0.015</v>
      </c>
      <c r="M381" s="7">
        <f t="shared" si="0"/>
        <v>46025</v>
      </c>
      <c r="N381" s="3" t="str">
        <f t="shared" si="1"/>
        <v>Regular</v>
      </c>
    </row>
    <row r="382" customHeight="1" spans="1:14">
      <c r="A382" s="1" t="s">
        <v>435</v>
      </c>
      <c r="B382" s="1">
        <v>276</v>
      </c>
      <c r="C382" s="1">
        <v>18</v>
      </c>
      <c r="D382" s="3" t="str">
        <f>IFERROR(VLOOKUP($C382,merchants!$A$1:$D$41,2,FALSE),"Merchant not found")</f>
        <v>Merchant_018</v>
      </c>
      <c r="E382" s="3" t="str">
        <f>IFERROR(VLOOKUP($C382,merchants!$A$1:$D$41,3,FALSE),"Merchant not found")</f>
        <v>grocery</v>
      </c>
      <c r="F382" s="3" t="str">
        <f>IFERROR(VLOOKUP($C382,merchants!$A$1:$D$41,4,FALSE),"Merchant not found")</f>
        <v>West</v>
      </c>
      <c r="G382" s="5">
        <v>46038.2583333333</v>
      </c>
      <c r="H382" s="1">
        <v>149</v>
      </c>
      <c r="I382" s="1" t="s">
        <v>49</v>
      </c>
      <c r="J382" s="1" t="s">
        <v>50</v>
      </c>
      <c r="K382" s="1">
        <v>71</v>
      </c>
      <c r="L382" s="6">
        <f>IFERROR(HLOOKUP($I382,Reference!$B$1:$E$2,2,FALSE),0)</f>
        <v>0.015</v>
      </c>
      <c r="M382" s="7">
        <f t="shared" si="0"/>
        <v>46038</v>
      </c>
      <c r="N382" s="3" t="str">
        <f t="shared" si="1"/>
        <v>Regular</v>
      </c>
    </row>
    <row r="383" customHeight="1" spans="1:14">
      <c r="A383" s="1" t="s">
        <v>436</v>
      </c>
      <c r="B383" s="1">
        <v>56</v>
      </c>
      <c r="C383" s="1">
        <v>40</v>
      </c>
      <c r="D383" s="3" t="str">
        <f>IFERROR(VLOOKUP($C383,merchants!$A$1:$D$41,2,FALSE),"Merchant not found")</f>
        <v>Merchant_040</v>
      </c>
      <c r="E383" s="3" t="str">
        <f>IFERROR(VLOOKUP($C383,merchants!$A$1:$D$41,3,FALSE),"Merchant not found")</f>
        <v>entertainment</v>
      </c>
      <c r="F383" s="3" t="str">
        <f>IFERROR(VLOOKUP($C383,merchants!$A$1:$D$41,4,FALSE),"Merchant not found")</f>
        <v>South</v>
      </c>
      <c r="G383" s="5">
        <v>46045.3388888889</v>
      </c>
      <c r="H383" s="1">
        <v>99</v>
      </c>
      <c r="I383" s="1" t="s">
        <v>64</v>
      </c>
      <c r="J383" s="1" t="s">
        <v>50</v>
      </c>
      <c r="K383" s="1">
        <v>94</v>
      </c>
      <c r="L383" s="6">
        <f>IFERROR(HLOOKUP($I383,Reference!$B$1:$E$2,2,FALSE),0)</f>
        <v>0.02</v>
      </c>
      <c r="M383" s="7">
        <f t="shared" si="0"/>
        <v>46045</v>
      </c>
      <c r="N383" s="3" t="str">
        <f t="shared" si="1"/>
        <v>Regular</v>
      </c>
    </row>
    <row r="384" customHeight="1" spans="1:14">
      <c r="A384" s="1" t="s">
        <v>437</v>
      </c>
      <c r="B384" s="1">
        <v>26</v>
      </c>
      <c r="C384" s="1">
        <v>34</v>
      </c>
      <c r="D384" s="3" t="str">
        <f>IFERROR(VLOOKUP($C384,merchants!$A$1:$D$41,2,FALSE),"Merchant not found")</f>
        <v>Merchant_034</v>
      </c>
      <c r="E384" s="3" t="str">
        <f>IFERROR(VLOOKUP($C384,merchants!$A$1:$D$41,3,FALSE),"Merchant not found")</f>
        <v>travel</v>
      </c>
      <c r="F384" s="3" t="str">
        <f>IFERROR(VLOOKUP($C384,merchants!$A$1:$D$41,4,FALSE),"Merchant not found")</f>
        <v>South</v>
      </c>
      <c r="G384" s="5">
        <v>46041.3020833333</v>
      </c>
      <c r="H384" s="1">
        <v>499</v>
      </c>
      <c r="I384" s="1" t="s">
        <v>64</v>
      </c>
      <c r="J384" s="1" t="s">
        <v>50</v>
      </c>
      <c r="K384" s="1">
        <v>28</v>
      </c>
      <c r="L384" s="6">
        <f>IFERROR(HLOOKUP($I384,Reference!$B$1:$E$2,2,FALSE),0)</f>
        <v>0.02</v>
      </c>
      <c r="M384" s="7">
        <f t="shared" si="0"/>
        <v>46041</v>
      </c>
      <c r="N384" s="3" t="str">
        <f t="shared" si="1"/>
        <v>Regular</v>
      </c>
    </row>
    <row r="385" customHeight="1" spans="1:14">
      <c r="A385" s="1" t="s">
        <v>438</v>
      </c>
      <c r="B385" s="1">
        <v>52</v>
      </c>
      <c r="C385" s="1">
        <v>27</v>
      </c>
      <c r="D385" s="3" t="str">
        <f>IFERROR(VLOOKUP($C385,merchants!$A$1:$D$41,2,FALSE),"Merchant not found")</f>
        <v>Merchant_027</v>
      </c>
      <c r="E385" s="3" t="str">
        <f>IFERROR(VLOOKUP($C385,merchants!$A$1:$D$41,3,FALSE),"Merchant not found")</f>
        <v>ecommerce</v>
      </c>
      <c r="F385" s="3" t="str">
        <f>IFERROR(VLOOKUP($C385,merchants!$A$1:$D$41,4,FALSE),"Merchant not found")</f>
        <v>North</v>
      </c>
      <c r="G385" s="5">
        <v>46043.29375</v>
      </c>
      <c r="H385" s="1">
        <v>499</v>
      </c>
      <c r="I385" s="1" t="s">
        <v>64</v>
      </c>
      <c r="J385" s="1" t="s">
        <v>50</v>
      </c>
      <c r="K385" s="1">
        <v>42</v>
      </c>
      <c r="L385" s="6">
        <f>IFERROR(HLOOKUP($I385,Reference!$B$1:$E$2,2,FALSE),0)</f>
        <v>0.02</v>
      </c>
      <c r="M385" s="7">
        <f t="shared" si="0"/>
        <v>46043</v>
      </c>
      <c r="N385" s="3" t="str">
        <f t="shared" si="1"/>
        <v>Regular</v>
      </c>
    </row>
    <row r="386" customHeight="1" spans="1:14">
      <c r="A386" s="1" t="s">
        <v>439</v>
      </c>
      <c r="B386" s="1">
        <v>349</v>
      </c>
      <c r="C386" s="1">
        <v>9</v>
      </c>
      <c r="D386" s="3" t="str">
        <f>IFERROR(VLOOKUP($C386,merchants!$A$1:$D$41,2,FALSE),"Merchant not found")</f>
        <v>Merchant_009</v>
      </c>
      <c r="E386" s="3" t="str">
        <f>IFERROR(VLOOKUP($C386,merchants!$A$1:$D$41,3,FALSE),"Merchant not found")</f>
        <v>ecommerce</v>
      </c>
      <c r="F386" s="3" t="str">
        <f>IFERROR(VLOOKUP($C386,merchants!$A$1:$D$41,4,FALSE),"Merchant not found")</f>
        <v>North</v>
      </c>
      <c r="G386" s="5">
        <v>46045.6291666667</v>
      </c>
      <c r="H386" s="1">
        <v>499</v>
      </c>
      <c r="I386" s="1" t="s">
        <v>49</v>
      </c>
      <c r="J386" s="1" t="s">
        <v>50</v>
      </c>
      <c r="K386" s="1">
        <v>0</v>
      </c>
      <c r="L386" s="6">
        <f>IFERROR(HLOOKUP($I386,Reference!$B$1:$E$2,2,FALSE),0)</f>
        <v>0.015</v>
      </c>
      <c r="M386" s="7">
        <f t="shared" si="0"/>
        <v>46045</v>
      </c>
      <c r="N386" s="3" t="str">
        <f t="shared" si="1"/>
        <v>Regular</v>
      </c>
    </row>
    <row r="387" customHeight="1" spans="1:14">
      <c r="A387" s="1" t="s">
        <v>440</v>
      </c>
      <c r="B387" s="1">
        <v>335</v>
      </c>
      <c r="C387" s="1">
        <v>31</v>
      </c>
      <c r="D387" s="3" t="str">
        <f>IFERROR(VLOOKUP($C387,merchants!$A$1:$D$41,2,FALSE),"Merchant not found")</f>
        <v>Merchant_031</v>
      </c>
      <c r="E387" s="3" t="str">
        <f>IFERROR(VLOOKUP($C387,merchants!$A$1:$D$41,3,FALSE),"Merchant not found")</f>
        <v>bill_payment</v>
      </c>
      <c r="F387" s="3" t="str">
        <f>IFERROR(VLOOKUP($C387,merchants!$A$1:$D$41,4,FALSE),"Merchant not found")</f>
        <v>East</v>
      </c>
      <c r="G387" s="5">
        <v>46040.2263888889</v>
      </c>
      <c r="H387" s="1">
        <v>49</v>
      </c>
      <c r="I387" s="1" t="s">
        <v>64</v>
      </c>
      <c r="J387" s="1" t="s">
        <v>50</v>
      </c>
      <c r="K387" s="1">
        <v>61</v>
      </c>
      <c r="L387" s="6">
        <f>IFERROR(HLOOKUP($I387,Reference!$B$1:$E$2,2,FALSE),0)</f>
        <v>0.02</v>
      </c>
      <c r="M387" s="7">
        <f t="shared" si="0"/>
        <v>46040</v>
      </c>
      <c r="N387" s="3" t="str">
        <f t="shared" si="1"/>
        <v>Regular</v>
      </c>
    </row>
    <row r="388" customHeight="1" spans="1:14">
      <c r="A388" s="1" t="s">
        <v>441</v>
      </c>
      <c r="B388" s="1">
        <v>148</v>
      </c>
      <c r="C388" s="1">
        <v>21</v>
      </c>
      <c r="D388" s="3" t="str">
        <f>IFERROR(VLOOKUP($C388,merchants!$A$1:$D$41,2,FALSE),"Merchant not found")</f>
        <v>Merchant_021</v>
      </c>
      <c r="E388" s="3" t="str">
        <f>IFERROR(VLOOKUP($C388,merchants!$A$1:$D$41,3,FALSE),"Merchant not found")</f>
        <v>food_delivery</v>
      </c>
      <c r="F388" s="3" t="str">
        <f>IFERROR(VLOOKUP($C388,merchants!$A$1:$D$41,4,FALSE),"Merchant not found")</f>
        <v>East</v>
      </c>
      <c r="G388" s="5">
        <v>46043.2833333333</v>
      </c>
      <c r="H388" s="1">
        <v>49</v>
      </c>
      <c r="I388" s="1" t="s">
        <v>64</v>
      </c>
      <c r="J388" s="1" t="s">
        <v>50</v>
      </c>
      <c r="K388" s="1">
        <v>36</v>
      </c>
      <c r="L388" s="6">
        <f>IFERROR(HLOOKUP($I388,Reference!$B$1:$E$2,2,FALSE),0)</f>
        <v>0.02</v>
      </c>
      <c r="M388" s="7">
        <f t="shared" si="0"/>
        <v>46043</v>
      </c>
      <c r="N388" s="3" t="str">
        <f t="shared" si="1"/>
        <v>Regular</v>
      </c>
    </row>
    <row r="389" customHeight="1" spans="1:14">
      <c r="A389" s="1" t="s">
        <v>442</v>
      </c>
      <c r="B389" s="1">
        <v>46</v>
      </c>
      <c r="C389" s="1">
        <v>37</v>
      </c>
      <c r="D389" s="3" t="str">
        <f>IFERROR(VLOOKUP($C389,merchants!$A$1:$D$41,2,FALSE),"Merchant not found")</f>
        <v>Merchant_037</v>
      </c>
      <c r="E389" s="3" t="str">
        <f>IFERROR(VLOOKUP($C389,merchants!$A$1:$D$41,3,FALSE),"Merchant not found")</f>
        <v>entertainment</v>
      </c>
      <c r="F389" s="3" t="str">
        <f>IFERROR(VLOOKUP($C389,merchants!$A$1:$D$41,4,FALSE),"Merchant not found")</f>
        <v>South</v>
      </c>
      <c r="G389" s="5">
        <v>46043.0819444444</v>
      </c>
      <c r="H389" s="1">
        <v>99</v>
      </c>
      <c r="I389" s="1" t="s">
        <v>49</v>
      </c>
      <c r="J389" s="1" t="s">
        <v>50</v>
      </c>
      <c r="K389" s="1">
        <v>29</v>
      </c>
      <c r="L389" s="6">
        <f>IFERROR(HLOOKUP($I389,Reference!$B$1:$E$2,2,FALSE),0)</f>
        <v>0.015</v>
      </c>
      <c r="M389" s="7">
        <f t="shared" si="0"/>
        <v>46043</v>
      </c>
      <c r="N389" s="3" t="str">
        <f t="shared" si="1"/>
        <v>Regular</v>
      </c>
    </row>
    <row r="390" customHeight="1" spans="1:14">
      <c r="A390" s="1" t="s">
        <v>443</v>
      </c>
      <c r="B390" s="1">
        <v>20</v>
      </c>
      <c r="C390" s="1">
        <v>12</v>
      </c>
      <c r="D390" s="3" t="str">
        <f>IFERROR(VLOOKUP($C390,merchants!$A$1:$D$41,2,FALSE),"Merchant not found")</f>
        <v>Merchant_012</v>
      </c>
      <c r="E390" s="3" t="str">
        <f>IFERROR(VLOOKUP($C390,merchants!$A$1:$D$41,3,FALSE),"Merchant not found")</f>
        <v>ecommerce</v>
      </c>
      <c r="F390" s="3" t="str">
        <f>IFERROR(VLOOKUP($C390,merchants!$A$1:$D$41,4,FALSE),"Merchant not found")</f>
        <v>East</v>
      </c>
      <c r="G390" s="5">
        <v>46040.9902777778</v>
      </c>
      <c r="H390" s="1">
        <v>799</v>
      </c>
      <c r="I390" s="1" t="s">
        <v>64</v>
      </c>
      <c r="J390" s="1" t="s">
        <v>50</v>
      </c>
      <c r="K390" s="1">
        <v>53</v>
      </c>
      <c r="L390" s="6">
        <f>IFERROR(HLOOKUP($I390,Reference!$B$1:$E$2,2,FALSE),0)</f>
        <v>0.02</v>
      </c>
      <c r="M390" s="7">
        <f t="shared" si="0"/>
        <v>46040</v>
      </c>
      <c r="N390" s="3" t="str">
        <f t="shared" si="1"/>
        <v>Regular</v>
      </c>
    </row>
    <row r="391" customHeight="1" spans="1:14">
      <c r="A391" s="1" t="s">
        <v>444</v>
      </c>
      <c r="B391" s="1">
        <v>19</v>
      </c>
      <c r="C391" s="1">
        <v>26</v>
      </c>
      <c r="D391" s="3" t="str">
        <f>IFERROR(VLOOKUP($C391,merchants!$A$1:$D$41,2,FALSE),"Merchant not found")</f>
        <v>Merchant_026</v>
      </c>
      <c r="E391" s="3" t="str">
        <f>IFERROR(VLOOKUP($C391,merchants!$A$1:$D$41,3,FALSE),"Merchant not found")</f>
        <v>food_delivery</v>
      </c>
      <c r="F391" s="3" t="str">
        <f>IFERROR(VLOOKUP($C391,merchants!$A$1:$D$41,4,FALSE),"Merchant not found")</f>
        <v>East</v>
      </c>
      <c r="G391" s="5">
        <v>46051.2493055556</v>
      </c>
      <c r="H391" s="1">
        <v>49</v>
      </c>
      <c r="I391" s="1" t="s">
        <v>52</v>
      </c>
      <c r="J391" s="1" t="s">
        <v>50</v>
      </c>
      <c r="K391" s="1">
        <v>100</v>
      </c>
      <c r="L391" s="6">
        <f>IFERROR(HLOOKUP($I391,Reference!$B$1:$E$2,2,FALSE),0)</f>
        <v>0</v>
      </c>
      <c r="M391" s="7">
        <f t="shared" si="0"/>
        <v>46051</v>
      </c>
      <c r="N391" s="3" t="str">
        <f t="shared" si="1"/>
        <v>Regular</v>
      </c>
    </row>
    <row r="392" customHeight="1" spans="1:14">
      <c r="A392" s="1" t="s">
        <v>445</v>
      </c>
      <c r="B392" s="1">
        <v>149</v>
      </c>
      <c r="C392" s="1">
        <v>3</v>
      </c>
      <c r="D392" s="3" t="str">
        <f>IFERROR(VLOOKUP($C392,merchants!$A$1:$D$41,2,FALSE),"Merchant not found")</f>
        <v>Merchant_003</v>
      </c>
      <c r="E392" s="3" t="str">
        <f>IFERROR(VLOOKUP($C392,merchants!$A$1:$D$41,3,FALSE),"Merchant not found")</f>
        <v>grocery</v>
      </c>
      <c r="F392" s="3" t="str">
        <f>IFERROR(VLOOKUP($C392,merchants!$A$1:$D$41,4,FALSE),"Merchant not found")</f>
        <v>East</v>
      </c>
      <c r="G392" s="5">
        <v>46038.2493055556</v>
      </c>
      <c r="H392" s="1">
        <v>4999</v>
      </c>
      <c r="I392" s="1" t="s">
        <v>49</v>
      </c>
      <c r="J392" s="1" t="s">
        <v>50</v>
      </c>
      <c r="K392" s="1">
        <v>1</v>
      </c>
      <c r="L392" s="6">
        <f>IFERROR(HLOOKUP($I392,Reference!$B$1:$E$2,2,FALSE),0)</f>
        <v>0.015</v>
      </c>
      <c r="M392" s="7">
        <f t="shared" si="0"/>
        <v>46038</v>
      </c>
      <c r="N392" s="3" t="str">
        <f t="shared" si="1"/>
        <v>Regular</v>
      </c>
    </row>
    <row r="393" customHeight="1" spans="1:14">
      <c r="A393" s="1" t="s">
        <v>446</v>
      </c>
      <c r="B393" s="1">
        <v>55</v>
      </c>
      <c r="C393" s="1">
        <v>22</v>
      </c>
      <c r="D393" s="3" t="str">
        <f>IFERROR(VLOOKUP($C393,merchants!$A$1:$D$41,2,FALSE),"Merchant not found")</f>
        <v>Merchant_022</v>
      </c>
      <c r="E393" s="3" t="str">
        <f>IFERROR(VLOOKUP($C393,merchants!$A$1:$D$41,3,FALSE),"Merchant not found")</f>
        <v>travel</v>
      </c>
      <c r="F393" s="3" t="str">
        <f>IFERROR(VLOOKUP($C393,merchants!$A$1:$D$41,4,FALSE),"Merchant not found")</f>
        <v>South</v>
      </c>
      <c r="G393" s="5">
        <v>46032.7763888889</v>
      </c>
      <c r="H393" s="1">
        <v>499</v>
      </c>
      <c r="I393" s="1" t="s">
        <v>52</v>
      </c>
      <c r="J393" s="1" t="s">
        <v>50</v>
      </c>
      <c r="K393" s="1">
        <v>36</v>
      </c>
      <c r="L393" s="6">
        <f>IFERROR(HLOOKUP($I393,Reference!$B$1:$E$2,2,FALSE),0)</f>
        <v>0</v>
      </c>
      <c r="M393" s="7">
        <f t="shared" si="0"/>
        <v>46032</v>
      </c>
      <c r="N393" s="3" t="str">
        <f t="shared" si="1"/>
        <v>Regular</v>
      </c>
    </row>
    <row r="394" customHeight="1" spans="1:14">
      <c r="A394" s="1" t="s">
        <v>447</v>
      </c>
      <c r="B394" s="1">
        <v>269</v>
      </c>
      <c r="C394" s="1">
        <v>32</v>
      </c>
      <c r="D394" s="3" t="str">
        <f>IFERROR(VLOOKUP($C394,merchants!$A$1:$D$41,2,FALSE),"Merchant not found")</f>
        <v>Merchant_032</v>
      </c>
      <c r="E394" s="3" t="str">
        <f>IFERROR(VLOOKUP($C394,merchants!$A$1:$D$41,3,FALSE),"Merchant not found")</f>
        <v>food_delivery</v>
      </c>
      <c r="F394" s="3" t="str">
        <f>IFERROR(VLOOKUP($C394,merchants!$A$1:$D$41,4,FALSE),"Merchant not found")</f>
        <v>West</v>
      </c>
      <c r="G394" s="5">
        <v>46037.8569444444</v>
      </c>
      <c r="H394" s="1">
        <v>49</v>
      </c>
      <c r="I394" s="1" t="s">
        <v>64</v>
      </c>
      <c r="J394" s="1" t="s">
        <v>50</v>
      </c>
      <c r="K394" s="1">
        <v>17</v>
      </c>
      <c r="L394" s="6">
        <f>IFERROR(HLOOKUP($I394,Reference!$B$1:$E$2,2,FALSE),0)</f>
        <v>0.02</v>
      </c>
      <c r="M394" s="7">
        <f t="shared" si="0"/>
        <v>46037</v>
      </c>
      <c r="N394" s="3" t="str">
        <f t="shared" si="1"/>
        <v>Regular</v>
      </c>
    </row>
    <row r="395" customHeight="1" spans="1:14">
      <c r="A395" s="1" t="s">
        <v>448</v>
      </c>
      <c r="B395" s="1">
        <v>140</v>
      </c>
      <c r="C395" s="1">
        <v>13</v>
      </c>
      <c r="D395" s="3" t="str">
        <f>IFERROR(VLOOKUP($C395,merchants!$A$1:$D$41,2,FALSE),"Merchant not found")</f>
        <v>Merchant_013</v>
      </c>
      <c r="E395" s="3" t="str">
        <f>IFERROR(VLOOKUP($C395,merchants!$A$1:$D$41,3,FALSE),"Merchant not found")</f>
        <v>travel</v>
      </c>
      <c r="F395" s="3" t="str">
        <f>IFERROR(VLOOKUP($C395,merchants!$A$1:$D$41,4,FALSE),"Merchant not found")</f>
        <v>East</v>
      </c>
      <c r="G395" s="5">
        <v>46050.6868055556</v>
      </c>
      <c r="H395" s="1">
        <v>2999</v>
      </c>
      <c r="I395" s="1" t="s">
        <v>52</v>
      </c>
      <c r="J395" s="1" t="s">
        <v>50</v>
      </c>
      <c r="K395" s="1">
        <v>14</v>
      </c>
      <c r="L395" s="6">
        <f>IFERROR(HLOOKUP($I395,Reference!$B$1:$E$2,2,FALSE),0)</f>
        <v>0</v>
      </c>
      <c r="M395" s="7">
        <f t="shared" si="0"/>
        <v>46050</v>
      </c>
      <c r="N395" s="3" t="str">
        <f t="shared" si="1"/>
        <v>Regular</v>
      </c>
    </row>
    <row r="396" customHeight="1" spans="1:14">
      <c r="A396" s="1" t="s">
        <v>449</v>
      </c>
      <c r="B396" s="1">
        <v>235</v>
      </c>
      <c r="C396" s="1">
        <v>17</v>
      </c>
      <c r="D396" s="3" t="str">
        <f>IFERROR(VLOOKUP($C396,merchants!$A$1:$D$41,2,FALSE),"Merchant not found")</f>
        <v>Merchant_017</v>
      </c>
      <c r="E396" s="3" t="str">
        <f>IFERROR(VLOOKUP($C396,merchants!$A$1:$D$41,3,FALSE),"Merchant not found")</f>
        <v>grocery</v>
      </c>
      <c r="F396" s="3" t="str">
        <f>IFERROR(VLOOKUP($C396,merchants!$A$1:$D$41,4,FALSE),"Merchant not found")</f>
        <v>North</v>
      </c>
      <c r="G396" s="5">
        <v>46033.2402777778</v>
      </c>
      <c r="H396" s="1">
        <v>2999</v>
      </c>
      <c r="I396" s="1" t="s">
        <v>52</v>
      </c>
      <c r="J396" s="1" t="s">
        <v>50</v>
      </c>
      <c r="K396" s="1">
        <v>91</v>
      </c>
      <c r="L396" s="6">
        <f>IFERROR(HLOOKUP($I396,Reference!$B$1:$E$2,2,FALSE),0)</f>
        <v>0</v>
      </c>
      <c r="M396" s="7">
        <f t="shared" si="0"/>
        <v>46033</v>
      </c>
      <c r="N396" s="3" t="str">
        <f t="shared" si="1"/>
        <v>High-Value Merchant Day</v>
      </c>
    </row>
    <row r="397" customHeight="1" spans="1:14">
      <c r="A397" s="1" t="s">
        <v>450</v>
      </c>
      <c r="B397" s="1">
        <v>173</v>
      </c>
      <c r="C397" s="1">
        <v>19</v>
      </c>
      <c r="D397" s="3" t="str">
        <f>IFERROR(VLOOKUP($C397,merchants!$A$1:$D$41,2,FALSE),"Merchant not found")</f>
        <v>Merchant_019</v>
      </c>
      <c r="E397" s="3" t="str">
        <f>IFERROR(VLOOKUP($C397,merchants!$A$1:$D$41,3,FALSE),"Merchant not found")</f>
        <v>grocery</v>
      </c>
      <c r="F397" s="3" t="str">
        <f>IFERROR(VLOOKUP($C397,merchants!$A$1:$D$41,4,FALSE),"Merchant not found")</f>
        <v>North</v>
      </c>
      <c r="G397" s="5">
        <v>46028.0326388889</v>
      </c>
      <c r="H397" s="1">
        <v>499</v>
      </c>
      <c r="I397" s="1" t="s">
        <v>52</v>
      </c>
      <c r="J397" s="1" t="s">
        <v>65</v>
      </c>
      <c r="K397" s="1">
        <v>72</v>
      </c>
      <c r="L397" s="6">
        <f>IFERROR(HLOOKUP($I397,Reference!$B$1:$E$2,2,FALSE),0)</f>
        <v>0</v>
      </c>
      <c r="M397" s="7">
        <f t="shared" si="0"/>
        <v>46028</v>
      </c>
      <c r="N397" s="3" t="str">
        <f t="shared" si="1"/>
        <v>Regular</v>
      </c>
    </row>
    <row r="398" customHeight="1" spans="1:14">
      <c r="A398" s="1" t="s">
        <v>451</v>
      </c>
      <c r="B398" s="1">
        <v>313</v>
      </c>
      <c r="C398" s="1">
        <v>26</v>
      </c>
      <c r="D398" s="3" t="str">
        <f>IFERROR(VLOOKUP($C398,merchants!$A$1:$D$41,2,FALSE),"Merchant not found")</f>
        <v>Merchant_026</v>
      </c>
      <c r="E398" s="3" t="str">
        <f>IFERROR(VLOOKUP($C398,merchants!$A$1:$D$41,3,FALSE),"Merchant not found")</f>
        <v>food_delivery</v>
      </c>
      <c r="F398" s="3" t="str">
        <f>IFERROR(VLOOKUP($C398,merchants!$A$1:$D$41,4,FALSE),"Merchant not found")</f>
        <v>East</v>
      </c>
      <c r="G398" s="5">
        <v>46044.2576388889</v>
      </c>
      <c r="H398" s="1">
        <v>499</v>
      </c>
      <c r="I398" s="1" t="s">
        <v>52</v>
      </c>
      <c r="J398" s="1" t="s">
        <v>50</v>
      </c>
      <c r="K398" s="1">
        <v>54</v>
      </c>
      <c r="L398" s="6">
        <f>IFERROR(HLOOKUP($I398,Reference!$B$1:$E$2,2,FALSE),0)</f>
        <v>0</v>
      </c>
      <c r="M398" s="7">
        <f t="shared" si="0"/>
        <v>46044</v>
      </c>
      <c r="N398" s="3" t="str">
        <f t="shared" si="1"/>
        <v>Regular</v>
      </c>
    </row>
    <row r="399" customHeight="1" spans="1:14">
      <c r="A399" s="1" t="s">
        <v>452</v>
      </c>
      <c r="B399" s="1">
        <v>206</v>
      </c>
      <c r="C399" s="1">
        <v>7</v>
      </c>
      <c r="D399" s="3" t="str">
        <f>IFERROR(VLOOKUP($C399,merchants!$A$1:$D$41,2,FALSE),"Merchant not found")</f>
        <v>Merchant_007</v>
      </c>
      <c r="E399" s="3" t="str">
        <f>IFERROR(VLOOKUP($C399,merchants!$A$1:$D$41,3,FALSE),"Merchant not found")</f>
        <v>food_delivery</v>
      </c>
      <c r="F399" s="3" t="str">
        <f>IFERROR(VLOOKUP($C399,merchants!$A$1:$D$41,4,FALSE),"Merchant not found")</f>
        <v>East</v>
      </c>
      <c r="G399" s="5">
        <v>46039.4201388889</v>
      </c>
      <c r="H399" s="1">
        <v>149</v>
      </c>
      <c r="I399" s="1" t="s">
        <v>49</v>
      </c>
      <c r="J399" s="1" t="s">
        <v>50</v>
      </c>
      <c r="K399" s="1">
        <v>23</v>
      </c>
      <c r="L399" s="6">
        <f>IFERROR(HLOOKUP($I399,Reference!$B$1:$E$2,2,FALSE),0)</f>
        <v>0.015</v>
      </c>
      <c r="M399" s="7">
        <f t="shared" si="0"/>
        <v>46039</v>
      </c>
      <c r="N399" s="3" t="str">
        <f t="shared" si="1"/>
        <v>Regular</v>
      </c>
    </row>
    <row r="400" customHeight="1" spans="1:14">
      <c r="A400" s="1" t="s">
        <v>453</v>
      </c>
      <c r="B400" s="1">
        <v>128</v>
      </c>
      <c r="C400" s="1">
        <v>1</v>
      </c>
      <c r="D400" s="3" t="str">
        <f>IFERROR(VLOOKUP($C400,merchants!$A$1:$D$41,2,FALSE),"Merchant not found")</f>
        <v>Merchant_001</v>
      </c>
      <c r="E400" s="3" t="str">
        <f>IFERROR(VLOOKUP($C400,merchants!$A$1:$D$41,3,FALSE),"Merchant not found")</f>
        <v>ecommerce</v>
      </c>
      <c r="F400" s="3" t="str">
        <f>IFERROR(VLOOKUP($C400,merchants!$A$1:$D$41,4,FALSE),"Merchant not found")</f>
        <v>South</v>
      </c>
      <c r="G400" s="5">
        <v>46027.6388888889</v>
      </c>
      <c r="H400" s="1">
        <v>1499</v>
      </c>
      <c r="I400" s="1" t="s">
        <v>55</v>
      </c>
      <c r="J400" s="1" t="s">
        <v>50</v>
      </c>
      <c r="K400" s="1">
        <v>33</v>
      </c>
      <c r="L400" s="6">
        <f>IFERROR(HLOOKUP($I400,Reference!$B$1:$E$2,2,FALSE),0)</f>
        <v>0.01</v>
      </c>
      <c r="M400" s="7">
        <f t="shared" si="0"/>
        <v>46027</v>
      </c>
      <c r="N400" s="3" t="str">
        <f t="shared" si="1"/>
        <v>Regular</v>
      </c>
    </row>
    <row r="401" customHeight="1" spans="1:14">
      <c r="A401" s="1" t="s">
        <v>454</v>
      </c>
      <c r="B401" s="1">
        <v>137</v>
      </c>
      <c r="C401" s="1">
        <v>22</v>
      </c>
      <c r="D401" s="3" t="str">
        <f>IFERROR(VLOOKUP($C401,merchants!$A$1:$D$41,2,FALSE),"Merchant not found")</f>
        <v>Merchant_022</v>
      </c>
      <c r="E401" s="3" t="str">
        <f>IFERROR(VLOOKUP($C401,merchants!$A$1:$D$41,3,FALSE),"Merchant not found")</f>
        <v>travel</v>
      </c>
      <c r="F401" s="3" t="str">
        <f>IFERROR(VLOOKUP($C401,merchants!$A$1:$D$41,4,FALSE),"Merchant not found")</f>
        <v>South</v>
      </c>
      <c r="G401" s="5">
        <v>46035.3111111111</v>
      </c>
      <c r="H401" s="1">
        <v>799</v>
      </c>
      <c r="I401" s="1" t="s">
        <v>52</v>
      </c>
      <c r="J401" s="1" t="s">
        <v>65</v>
      </c>
      <c r="K401" s="1">
        <v>38</v>
      </c>
      <c r="L401" s="6">
        <f>IFERROR(HLOOKUP($I401,Reference!$B$1:$E$2,2,FALSE),0)</f>
        <v>0</v>
      </c>
      <c r="M401" s="7">
        <f t="shared" si="0"/>
        <v>46035</v>
      </c>
      <c r="N401" s="3" t="str">
        <f t="shared" si="1"/>
        <v>High-Value Merchant Day</v>
      </c>
    </row>
    <row r="402" customHeight="1" spans="1:14">
      <c r="A402" s="1" t="s">
        <v>455</v>
      </c>
      <c r="B402" s="1">
        <v>6</v>
      </c>
      <c r="C402" s="1">
        <v>17</v>
      </c>
      <c r="D402" s="3" t="str">
        <f>IFERROR(VLOOKUP($C402,merchants!$A$1:$D$41,2,FALSE),"Merchant not found")</f>
        <v>Merchant_017</v>
      </c>
      <c r="E402" s="3" t="str">
        <f>IFERROR(VLOOKUP($C402,merchants!$A$1:$D$41,3,FALSE),"Merchant not found")</f>
        <v>grocery</v>
      </c>
      <c r="F402" s="3" t="str">
        <f>IFERROR(VLOOKUP($C402,merchants!$A$1:$D$41,4,FALSE),"Merchant not found")</f>
        <v>North</v>
      </c>
      <c r="G402" s="5">
        <v>46041.9833333333</v>
      </c>
      <c r="H402" s="1">
        <v>49</v>
      </c>
      <c r="I402" s="1" t="s">
        <v>52</v>
      </c>
      <c r="J402" s="1" t="s">
        <v>50</v>
      </c>
      <c r="K402" s="1">
        <v>83</v>
      </c>
      <c r="L402" s="6">
        <f>IFERROR(HLOOKUP($I402,Reference!$B$1:$E$2,2,FALSE),0)</f>
        <v>0</v>
      </c>
      <c r="M402" s="7">
        <f t="shared" si="0"/>
        <v>46041</v>
      </c>
      <c r="N402" s="3" t="str">
        <f t="shared" si="1"/>
        <v>Regular</v>
      </c>
    </row>
    <row r="403" customHeight="1" spans="1:14">
      <c r="A403" s="1" t="s">
        <v>456</v>
      </c>
      <c r="B403" s="1">
        <v>32</v>
      </c>
      <c r="C403" s="1">
        <v>8</v>
      </c>
      <c r="D403" s="3" t="str">
        <f>IFERROR(VLOOKUP($C403,merchants!$A$1:$D$41,2,FALSE),"Merchant not found")</f>
        <v>Merchant_008</v>
      </c>
      <c r="E403" s="3" t="str">
        <f>IFERROR(VLOOKUP($C403,merchants!$A$1:$D$41,3,FALSE),"Merchant not found")</f>
        <v>food_delivery</v>
      </c>
      <c r="F403" s="3" t="str">
        <f>IFERROR(VLOOKUP($C403,merchants!$A$1:$D$41,4,FALSE),"Merchant not found")</f>
        <v>North</v>
      </c>
      <c r="G403" s="5">
        <v>46034.9270833333</v>
      </c>
      <c r="H403" s="1">
        <v>299</v>
      </c>
      <c r="I403" s="1" t="s">
        <v>64</v>
      </c>
      <c r="J403" s="1" t="s">
        <v>50</v>
      </c>
      <c r="K403" s="1">
        <v>59</v>
      </c>
      <c r="L403" s="6">
        <f>IFERROR(HLOOKUP($I403,Reference!$B$1:$E$2,2,FALSE),0)</f>
        <v>0.02</v>
      </c>
      <c r="M403" s="7">
        <f t="shared" si="0"/>
        <v>46034</v>
      </c>
      <c r="N403" s="3" t="str">
        <f t="shared" si="1"/>
        <v>Regular</v>
      </c>
    </row>
    <row r="404" customHeight="1" spans="1:14">
      <c r="A404" s="1" t="s">
        <v>457</v>
      </c>
      <c r="B404" s="1">
        <v>258</v>
      </c>
      <c r="C404" s="1">
        <v>20</v>
      </c>
      <c r="D404" s="3" t="str">
        <f>IFERROR(VLOOKUP($C404,merchants!$A$1:$D$41,2,FALSE),"Merchant not found")</f>
        <v>Merchant_020</v>
      </c>
      <c r="E404" s="3" t="str">
        <f>IFERROR(VLOOKUP($C404,merchants!$A$1:$D$41,3,FALSE),"Merchant not found")</f>
        <v>food_delivery</v>
      </c>
      <c r="F404" s="3" t="str">
        <f>IFERROR(VLOOKUP($C404,merchants!$A$1:$D$41,4,FALSE),"Merchant not found")</f>
        <v>East</v>
      </c>
      <c r="G404" s="5">
        <v>46032.2256944444</v>
      </c>
      <c r="H404" s="1">
        <v>149</v>
      </c>
      <c r="I404" s="1" t="s">
        <v>52</v>
      </c>
      <c r="J404" s="1" t="s">
        <v>50</v>
      </c>
      <c r="K404" s="1">
        <v>88</v>
      </c>
      <c r="L404" s="6">
        <f>IFERROR(HLOOKUP($I404,Reference!$B$1:$E$2,2,FALSE),0)</f>
        <v>0</v>
      </c>
      <c r="M404" s="7">
        <f t="shared" si="0"/>
        <v>46032</v>
      </c>
      <c r="N404" s="3" t="str">
        <f t="shared" si="1"/>
        <v>Regular</v>
      </c>
    </row>
    <row r="405" customHeight="1" spans="1:14">
      <c r="A405" s="1" t="s">
        <v>458</v>
      </c>
      <c r="B405" s="1">
        <v>152</v>
      </c>
      <c r="C405" s="1">
        <v>24</v>
      </c>
      <c r="D405" s="3" t="str">
        <f>IFERROR(VLOOKUP($C405,merchants!$A$1:$D$41,2,FALSE),"Merchant not found")</f>
        <v>Merchant_024</v>
      </c>
      <c r="E405" s="3" t="str">
        <f>IFERROR(VLOOKUP($C405,merchants!$A$1:$D$41,3,FALSE),"Merchant not found")</f>
        <v>grocery</v>
      </c>
      <c r="F405" s="3" t="str">
        <f>IFERROR(VLOOKUP($C405,merchants!$A$1:$D$41,4,FALSE),"Merchant not found")</f>
        <v>North</v>
      </c>
      <c r="G405" s="5">
        <v>46026.8736111111</v>
      </c>
      <c r="H405" s="1">
        <v>149</v>
      </c>
      <c r="I405" s="1" t="s">
        <v>52</v>
      </c>
      <c r="J405" s="1" t="s">
        <v>78</v>
      </c>
      <c r="K405" s="1">
        <v>78</v>
      </c>
      <c r="L405" s="6">
        <f>IFERROR(HLOOKUP($I405,Reference!$B$1:$E$2,2,FALSE),0)</f>
        <v>0</v>
      </c>
      <c r="M405" s="7">
        <f t="shared" si="0"/>
        <v>46026</v>
      </c>
      <c r="N405" s="3" t="str">
        <f t="shared" si="1"/>
        <v>Regular</v>
      </c>
    </row>
    <row r="406" customHeight="1" spans="1:14">
      <c r="A406" s="1" t="s">
        <v>459</v>
      </c>
      <c r="B406" s="1">
        <v>245</v>
      </c>
      <c r="C406" s="1">
        <v>10</v>
      </c>
      <c r="D406" s="3" t="str">
        <f>IFERROR(VLOOKUP($C406,merchants!$A$1:$D$41,2,FALSE),"Merchant not found")</f>
        <v>Merchant_010</v>
      </c>
      <c r="E406" s="3" t="str">
        <f>IFERROR(VLOOKUP($C406,merchants!$A$1:$D$41,3,FALSE),"Merchant not found")</f>
        <v>grocery</v>
      </c>
      <c r="F406" s="3" t="str">
        <f>IFERROR(VLOOKUP($C406,merchants!$A$1:$D$41,4,FALSE),"Merchant not found")</f>
        <v>West</v>
      </c>
      <c r="G406" s="5">
        <v>46030.2972222222</v>
      </c>
      <c r="H406" s="1">
        <v>799</v>
      </c>
      <c r="I406" s="1" t="s">
        <v>49</v>
      </c>
      <c r="J406" s="1" t="s">
        <v>50</v>
      </c>
      <c r="K406" s="1">
        <v>58</v>
      </c>
      <c r="L406" s="6">
        <f>IFERROR(HLOOKUP($I406,Reference!$B$1:$E$2,2,FALSE),0)</f>
        <v>0.015</v>
      </c>
      <c r="M406" s="7">
        <f t="shared" si="0"/>
        <v>46030</v>
      </c>
      <c r="N406" s="3" t="str">
        <f t="shared" si="1"/>
        <v>Regular</v>
      </c>
    </row>
    <row r="407" customHeight="1" spans="1:14">
      <c r="A407" s="1" t="s">
        <v>460</v>
      </c>
      <c r="B407" s="1">
        <v>213</v>
      </c>
      <c r="C407" s="1">
        <v>36</v>
      </c>
      <c r="D407" s="3" t="str">
        <f>IFERROR(VLOOKUP($C407,merchants!$A$1:$D$41,2,FALSE),"Merchant not found")</f>
        <v>Merchant_036</v>
      </c>
      <c r="E407" s="3" t="str">
        <f>IFERROR(VLOOKUP($C407,merchants!$A$1:$D$41,3,FALSE),"Merchant not found")</f>
        <v>entertainment</v>
      </c>
      <c r="F407" s="3" t="str">
        <f>IFERROR(VLOOKUP($C407,merchants!$A$1:$D$41,4,FALSE),"Merchant not found")</f>
        <v>East</v>
      </c>
      <c r="G407" s="5">
        <v>46046.8076388889</v>
      </c>
      <c r="H407" s="1">
        <v>49</v>
      </c>
      <c r="I407" s="1" t="s">
        <v>49</v>
      </c>
      <c r="J407" s="1" t="s">
        <v>50</v>
      </c>
      <c r="K407" s="1">
        <v>60</v>
      </c>
      <c r="L407" s="6">
        <f>IFERROR(HLOOKUP($I407,Reference!$B$1:$E$2,2,FALSE),0)</f>
        <v>0.015</v>
      </c>
      <c r="M407" s="7">
        <f t="shared" si="0"/>
        <v>46046</v>
      </c>
      <c r="N407" s="3" t="str">
        <f t="shared" si="1"/>
        <v>Regular</v>
      </c>
    </row>
    <row r="408" customHeight="1" spans="1:14">
      <c r="A408" s="1" t="s">
        <v>461</v>
      </c>
      <c r="B408" s="1">
        <v>341</v>
      </c>
      <c r="C408" s="1">
        <v>14</v>
      </c>
      <c r="D408" s="3" t="str">
        <f>IFERROR(VLOOKUP($C408,merchants!$A$1:$D$41,2,FALSE),"Merchant not found")</f>
        <v>Merchant_014</v>
      </c>
      <c r="E408" s="3" t="str">
        <f>IFERROR(VLOOKUP($C408,merchants!$A$1:$D$41,3,FALSE),"Merchant not found")</f>
        <v>grocery</v>
      </c>
      <c r="F408" s="3" t="str">
        <f>IFERROR(VLOOKUP($C408,merchants!$A$1:$D$41,4,FALSE),"Merchant not found")</f>
        <v>East</v>
      </c>
      <c r="G408" s="5">
        <v>46047.74375</v>
      </c>
      <c r="H408" s="1">
        <v>99</v>
      </c>
      <c r="I408" s="1" t="s">
        <v>55</v>
      </c>
      <c r="J408" s="1" t="s">
        <v>50</v>
      </c>
      <c r="K408" s="1">
        <v>97</v>
      </c>
      <c r="L408" s="6">
        <f>IFERROR(HLOOKUP($I408,Reference!$B$1:$E$2,2,FALSE),0)</f>
        <v>0.01</v>
      </c>
      <c r="M408" s="7">
        <f t="shared" si="0"/>
        <v>46047</v>
      </c>
      <c r="N408" s="3" t="str">
        <f t="shared" si="1"/>
        <v>Regular</v>
      </c>
    </row>
    <row r="409" customHeight="1" spans="1:14">
      <c r="A409" s="1" t="s">
        <v>462</v>
      </c>
      <c r="B409" s="1">
        <v>306</v>
      </c>
      <c r="C409" s="1">
        <v>6</v>
      </c>
      <c r="D409" s="3" t="str">
        <f>IFERROR(VLOOKUP($C409,merchants!$A$1:$D$41,2,FALSE),"Merchant not found")</f>
        <v>Merchant_006</v>
      </c>
      <c r="E409" s="3" t="str">
        <f>IFERROR(VLOOKUP($C409,merchants!$A$1:$D$41,3,FALSE),"Merchant not found")</f>
        <v>food_delivery</v>
      </c>
      <c r="F409" s="3" t="str">
        <f>IFERROR(VLOOKUP($C409,merchants!$A$1:$D$41,4,FALSE),"Merchant not found")</f>
        <v>South</v>
      </c>
      <c r="G409" s="5">
        <v>46030.9083333333</v>
      </c>
      <c r="H409" s="1">
        <v>149</v>
      </c>
      <c r="I409" s="1" t="s">
        <v>55</v>
      </c>
      <c r="J409" s="1" t="s">
        <v>50</v>
      </c>
      <c r="K409" s="1">
        <v>67</v>
      </c>
      <c r="L409" s="6">
        <f>IFERROR(HLOOKUP($I409,Reference!$B$1:$E$2,2,FALSE),0)</f>
        <v>0.01</v>
      </c>
      <c r="M409" s="7">
        <f t="shared" si="0"/>
        <v>46030</v>
      </c>
      <c r="N409" s="3" t="str">
        <f t="shared" si="1"/>
        <v>Regular</v>
      </c>
    </row>
    <row r="410" customHeight="1" spans="1:14">
      <c r="A410" s="1" t="s">
        <v>463</v>
      </c>
      <c r="B410" s="1">
        <v>186</v>
      </c>
      <c r="C410" s="1">
        <v>5</v>
      </c>
      <c r="D410" s="3" t="str">
        <f>IFERROR(VLOOKUP($C410,merchants!$A$1:$D$41,2,FALSE),"Merchant not found")</f>
        <v>Merchant_005</v>
      </c>
      <c r="E410" s="3" t="str">
        <f>IFERROR(VLOOKUP($C410,merchants!$A$1:$D$41,3,FALSE),"Merchant not found")</f>
        <v>recharge</v>
      </c>
      <c r="F410" s="3" t="str">
        <f>IFERROR(VLOOKUP($C410,merchants!$A$1:$D$41,4,FALSE),"Merchant not found")</f>
        <v>South</v>
      </c>
      <c r="G410" s="5">
        <v>46037.6979166667</v>
      </c>
      <c r="H410" s="1">
        <v>499</v>
      </c>
      <c r="I410" s="1" t="s">
        <v>52</v>
      </c>
      <c r="J410" s="1" t="s">
        <v>50</v>
      </c>
      <c r="K410" s="1">
        <v>72</v>
      </c>
      <c r="L410" s="6">
        <f>IFERROR(HLOOKUP($I410,Reference!$B$1:$E$2,2,FALSE),0)</f>
        <v>0</v>
      </c>
      <c r="M410" s="7">
        <f t="shared" si="0"/>
        <v>46037</v>
      </c>
      <c r="N410" s="3" t="str">
        <f t="shared" si="1"/>
        <v>Regular</v>
      </c>
    </row>
    <row r="411" customHeight="1" spans="1:14">
      <c r="A411" s="1" t="s">
        <v>464</v>
      </c>
      <c r="B411" s="1">
        <v>281</v>
      </c>
      <c r="C411" s="1">
        <v>33</v>
      </c>
      <c r="D411" s="3" t="str">
        <f>IFERROR(VLOOKUP($C411,merchants!$A$1:$D$41,2,FALSE),"Merchant not found")</f>
        <v>Merchant_033</v>
      </c>
      <c r="E411" s="3" t="str">
        <f>IFERROR(VLOOKUP($C411,merchants!$A$1:$D$41,3,FALSE),"Merchant not found")</f>
        <v>bill_payment</v>
      </c>
      <c r="F411" s="3" t="str">
        <f>IFERROR(VLOOKUP($C411,merchants!$A$1:$D$41,4,FALSE),"Merchant not found")</f>
        <v>East</v>
      </c>
      <c r="G411" s="5">
        <v>46026.0784722222</v>
      </c>
      <c r="H411" s="1">
        <v>4999</v>
      </c>
      <c r="I411" s="1" t="s">
        <v>52</v>
      </c>
      <c r="J411" s="1" t="s">
        <v>50</v>
      </c>
      <c r="K411" s="1">
        <v>25</v>
      </c>
      <c r="L411" s="6">
        <f>IFERROR(HLOOKUP($I411,Reference!$B$1:$E$2,2,FALSE),0)</f>
        <v>0</v>
      </c>
      <c r="M411" s="7">
        <f t="shared" si="0"/>
        <v>46026</v>
      </c>
      <c r="N411" s="3" t="str">
        <f t="shared" si="1"/>
        <v>Regular</v>
      </c>
    </row>
    <row r="412" customHeight="1" spans="1:14">
      <c r="A412" s="1" t="s">
        <v>465</v>
      </c>
      <c r="B412" s="1">
        <v>85</v>
      </c>
      <c r="C412" s="1">
        <v>21</v>
      </c>
      <c r="D412" s="3" t="str">
        <f>IFERROR(VLOOKUP($C412,merchants!$A$1:$D$41,2,FALSE),"Merchant not found")</f>
        <v>Merchant_021</v>
      </c>
      <c r="E412" s="3" t="str">
        <f>IFERROR(VLOOKUP($C412,merchants!$A$1:$D$41,3,FALSE),"Merchant not found")</f>
        <v>food_delivery</v>
      </c>
      <c r="F412" s="3" t="str">
        <f>IFERROR(VLOOKUP($C412,merchants!$A$1:$D$41,4,FALSE),"Merchant not found")</f>
        <v>East</v>
      </c>
      <c r="G412" s="5">
        <v>46041.7145833333</v>
      </c>
      <c r="H412" s="1">
        <v>99</v>
      </c>
      <c r="I412" s="1" t="s">
        <v>52</v>
      </c>
      <c r="J412" s="1" t="s">
        <v>50</v>
      </c>
      <c r="K412" s="1">
        <v>66</v>
      </c>
      <c r="L412" s="6">
        <f>IFERROR(HLOOKUP($I412,Reference!$B$1:$E$2,2,FALSE),0)</f>
        <v>0</v>
      </c>
      <c r="M412" s="7">
        <f t="shared" si="0"/>
        <v>46041</v>
      </c>
      <c r="N412" s="3" t="str">
        <f t="shared" si="1"/>
        <v>Regular</v>
      </c>
    </row>
    <row r="413" customHeight="1" spans="1:14">
      <c r="A413" s="1" t="s">
        <v>466</v>
      </c>
      <c r="B413" s="1">
        <v>106</v>
      </c>
      <c r="C413" s="1">
        <v>38</v>
      </c>
      <c r="D413" s="3" t="str">
        <f>IFERROR(VLOOKUP($C413,merchants!$A$1:$D$41,2,FALSE),"Merchant not found")</f>
        <v>Merchant_038</v>
      </c>
      <c r="E413" s="3" t="str">
        <f>IFERROR(VLOOKUP($C413,merchants!$A$1:$D$41,3,FALSE),"Merchant not found")</f>
        <v>grocery</v>
      </c>
      <c r="F413" s="3" t="str">
        <f>IFERROR(VLOOKUP($C413,merchants!$A$1:$D$41,4,FALSE),"Merchant not found")</f>
        <v>East</v>
      </c>
      <c r="G413" s="5">
        <v>46037.1548611111</v>
      </c>
      <c r="H413" s="1">
        <v>499</v>
      </c>
      <c r="I413" s="1" t="s">
        <v>52</v>
      </c>
      <c r="J413" s="1" t="s">
        <v>50</v>
      </c>
      <c r="K413" s="1">
        <v>62</v>
      </c>
      <c r="L413" s="6">
        <f>IFERROR(HLOOKUP($I413,Reference!$B$1:$E$2,2,FALSE),0)</f>
        <v>0</v>
      </c>
      <c r="M413" s="7">
        <f t="shared" si="0"/>
        <v>46037</v>
      </c>
      <c r="N413" s="3" t="str">
        <f t="shared" si="1"/>
        <v>Regular</v>
      </c>
    </row>
    <row r="414" customHeight="1" spans="1:14">
      <c r="A414" s="1" t="s">
        <v>467</v>
      </c>
      <c r="B414" s="1">
        <v>29</v>
      </c>
      <c r="C414" s="1">
        <v>30</v>
      </c>
      <c r="D414" s="3" t="str">
        <f>IFERROR(VLOOKUP($C414,merchants!$A$1:$D$41,2,FALSE),"Merchant not found")</f>
        <v>Merchant_030</v>
      </c>
      <c r="E414" s="3" t="str">
        <f>IFERROR(VLOOKUP($C414,merchants!$A$1:$D$41,3,FALSE),"Merchant not found")</f>
        <v>travel</v>
      </c>
      <c r="F414" s="3" t="str">
        <f>IFERROR(VLOOKUP($C414,merchants!$A$1:$D$41,4,FALSE),"Merchant not found")</f>
        <v>West</v>
      </c>
      <c r="G414" s="5">
        <v>46025.6861111111</v>
      </c>
      <c r="H414" s="1">
        <v>149</v>
      </c>
      <c r="I414" s="1" t="s">
        <v>55</v>
      </c>
      <c r="J414" s="1" t="s">
        <v>50</v>
      </c>
      <c r="K414" s="1">
        <v>16</v>
      </c>
      <c r="L414" s="6">
        <f>IFERROR(HLOOKUP($I414,Reference!$B$1:$E$2,2,FALSE),0)</f>
        <v>0.01</v>
      </c>
      <c r="M414" s="7">
        <f t="shared" si="0"/>
        <v>46025</v>
      </c>
      <c r="N414" s="3" t="str">
        <f t="shared" si="1"/>
        <v>Regular</v>
      </c>
    </row>
    <row r="415" customHeight="1" spans="1:14">
      <c r="A415" s="1" t="s">
        <v>468</v>
      </c>
      <c r="B415" s="1">
        <v>289</v>
      </c>
      <c r="C415" s="1">
        <v>4</v>
      </c>
      <c r="D415" s="3" t="str">
        <f>IFERROR(VLOOKUP($C415,merchants!$A$1:$D$41,2,FALSE),"Merchant not found")</f>
        <v>Merchant_004</v>
      </c>
      <c r="E415" s="3" t="str">
        <f>IFERROR(VLOOKUP($C415,merchants!$A$1:$D$41,3,FALSE),"Merchant not found")</f>
        <v>ecommerce</v>
      </c>
      <c r="F415" s="3" t="str">
        <f>IFERROR(VLOOKUP($C415,merchants!$A$1:$D$41,4,FALSE),"Merchant not found")</f>
        <v>East</v>
      </c>
      <c r="G415" s="5">
        <v>46039.5618055556</v>
      </c>
      <c r="H415" s="1">
        <v>1499</v>
      </c>
      <c r="I415" s="1" t="s">
        <v>64</v>
      </c>
      <c r="J415" s="1" t="s">
        <v>50</v>
      </c>
      <c r="K415" s="1">
        <v>71</v>
      </c>
      <c r="L415" s="6">
        <f>IFERROR(HLOOKUP($I415,Reference!$B$1:$E$2,2,FALSE),0)</f>
        <v>0.02</v>
      </c>
      <c r="M415" s="7">
        <f t="shared" si="0"/>
        <v>46039</v>
      </c>
      <c r="N415" s="3" t="str">
        <f t="shared" si="1"/>
        <v>Regular</v>
      </c>
    </row>
    <row r="416" customHeight="1" spans="1:14">
      <c r="A416" s="1" t="s">
        <v>469</v>
      </c>
      <c r="B416" s="1">
        <v>158</v>
      </c>
      <c r="C416" s="1">
        <v>2</v>
      </c>
      <c r="D416" s="3" t="str">
        <f>IFERROR(VLOOKUP($C416,merchants!$A$1:$D$41,2,FALSE),"Merchant not found")</f>
        <v>Merchant_002</v>
      </c>
      <c r="E416" s="3" t="str">
        <f>IFERROR(VLOOKUP($C416,merchants!$A$1:$D$41,3,FALSE),"Merchant not found")</f>
        <v>grocery</v>
      </c>
      <c r="F416" s="3" t="str">
        <f>IFERROR(VLOOKUP($C416,merchants!$A$1:$D$41,4,FALSE),"Merchant not found")</f>
        <v>West</v>
      </c>
      <c r="G416" s="5">
        <v>46037.9104166667</v>
      </c>
      <c r="H416" s="1">
        <v>1499</v>
      </c>
      <c r="I416" s="1" t="s">
        <v>64</v>
      </c>
      <c r="J416" s="1" t="s">
        <v>50</v>
      </c>
      <c r="K416" s="1">
        <v>50</v>
      </c>
      <c r="L416" s="6">
        <f>IFERROR(HLOOKUP($I416,Reference!$B$1:$E$2,2,FALSE),0)</f>
        <v>0.02</v>
      </c>
      <c r="M416" s="7">
        <f t="shared" si="0"/>
        <v>46037</v>
      </c>
      <c r="N416" s="3" t="str">
        <f t="shared" si="1"/>
        <v>Regular</v>
      </c>
    </row>
    <row r="417" customHeight="1" spans="1:14">
      <c r="A417" s="1" t="s">
        <v>470</v>
      </c>
      <c r="B417" s="1">
        <v>112</v>
      </c>
      <c r="C417" s="1">
        <v>38</v>
      </c>
      <c r="D417" s="3" t="str">
        <f>IFERROR(VLOOKUP($C417,merchants!$A$1:$D$41,2,FALSE),"Merchant not found")</f>
        <v>Merchant_038</v>
      </c>
      <c r="E417" s="3" t="str">
        <f>IFERROR(VLOOKUP($C417,merchants!$A$1:$D$41,3,FALSE),"Merchant not found")</f>
        <v>grocery</v>
      </c>
      <c r="F417" s="3" t="str">
        <f>IFERROR(VLOOKUP($C417,merchants!$A$1:$D$41,4,FALSE),"Merchant not found")</f>
        <v>East</v>
      </c>
      <c r="G417" s="5">
        <v>46031.0326388889</v>
      </c>
      <c r="H417" s="1">
        <v>49</v>
      </c>
      <c r="I417" s="1" t="s">
        <v>52</v>
      </c>
      <c r="J417" s="1" t="s">
        <v>50</v>
      </c>
      <c r="K417" s="1">
        <v>9</v>
      </c>
      <c r="L417" s="6">
        <f>IFERROR(HLOOKUP($I417,Reference!$B$1:$E$2,2,FALSE),0)</f>
        <v>0</v>
      </c>
      <c r="M417" s="7">
        <f t="shared" si="0"/>
        <v>46031</v>
      </c>
      <c r="N417" s="3" t="str">
        <f t="shared" si="1"/>
        <v>Regular</v>
      </c>
    </row>
    <row r="418" customHeight="1" spans="1:14">
      <c r="A418" s="1" t="s">
        <v>471</v>
      </c>
      <c r="B418" s="1">
        <v>33</v>
      </c>
      <c r="C418" s="1">
        <v>35</v>
      </c>
      <c r="D418" s="3" t="str">
        <f>IFERROR(VLOOKUP($C418,merchants!$A$1:$D$41,2,FALSE),"Merchant not found")</f>
        <v>Merchant_035</v>
      </c>
      <c r="E418" s="3" t="str">
        <f>IFERROR(VLOOKUP($C418,merchants!$A$1:$D$41,3,FALSE),"Merchant not found")</f>
        <v>recharge</v>
      </c>
      <c r="F418" s="3" t="str">
        <f>IFERROR(VLOOKUP($C418,merchants!$A$1:$D$41,4,FALSE),"Merchant not found")</f>
        <v>East</v>
      </c>
      <c r="G418" s="5">
        <v>46024.5569444444</v>
      </c>
      <c r="H418" s="1">
        <v>299</v>
      </c>
      <c r="I418" s="1" t="s">
        <v>64</v>
      </c>
      <c r="J418" s="1" t="s">
        <v>65</v>
      </c>
      <c r="K418" s="1">
        <v>7</v>
      </c>
      <c r="L418" s="6">
        <f>IFERROR(HLOOKUP($I418,Reference!$B$1:$E$2,2,FALSE),0)</f>
        <v>0.02</v>
      </c>
      <c r="M418" s="7">
        <f t="shared" si="0"/>
        <v>46024</v>
      </c>
      <c r="N418" s="3" t="str">
        <f t="shared" si="1"/>
        <v>Regular</v>
      </c>
    </row>
    <row r="419" customHeight="1" spans="1:14">
      <c r="A419" s="1" t="s">
        <v>472</v>
      </c>
      <c r="B419" s="1">
        <v>242</v>
      </c>
      <c r="C419" s="1">
        <v>3</v>
      </c>
      <c r="D419" s="3" t="str">
        <f>IFERROR(VLOOKUP($C419,merchants!$A$1:$D$41,2,FALSE),"Merchant not found")</f>
        <v>Merchant_003</v>
      </c>
      <c r="E419" s="3" t="str">
        <f>IFERROR(VLOOKUP($C419,merchants!$A$1:$D$41,3,FALSE),"Merchant not found")</f>
        <v>grocery</v>
      </c>
      <c r="F419" s="3" t="str">
        <f>IFERROR(VLOOKUP($C419,merchants!$A$1:$D$41,4,FALSE),"Merchant not found")</f>
        <v>East</v>
      </c>
      <c r="G419" s="5">
        <v>46052.1243055556</v>
      </c>
      <c r="H419" s="1">
        <v>49</v>
      </c>
      <c r="I419" s="1" t="s">
        <v>52</v>
      </c>
      <c r="J419" s="1" t="s">
        <v>50</v>
      </c>
      <c r="K419" s="1">
        <v>36</v>
      </c>
      <c r="L419" s="6">
        <f>IFERROR(HLOOKUP($I419,Reference!$B$1:$E$2,2,FALSE),0)</f>
        <v>0</v>
      </c>
      <c r="M419" s="7">
        <f t="shared" si="0"/>
        <v>46052</v>
      </c>
      <c r="N419" s="3" t="str">
        <f t="shared" si="1"/>
        <v>Regular</v>
      </c>
    </row>
    <row r="420" customHeight="1" spans="1:14">
      <c r="A420" s="1" t="s">
        <v>473</v>
      </c>
      <c r="B420" s="1">
        <v>70</v>
      </c>
      <c r="C420" s="1">
        <v>27</v>
      </c>
      <c r="D420" s="3" t="str">
        <f>IFERROR(VLOOKUP($C420,merchants!$A$1:$D$41,2,FALSE),"Merchant not found")</f>
        <v>Merchant_027</v>
      </c>
      <c r="E420" s="3" t="str">
        <f>IFERROR(VLOOKUP($C420,merchants!$A$1:$D$41,3,FALSE),"Merchant not found")</f>
        <v>ecommerce</v>
      </c>
      <c r="F420" s="3" t="str">
        <f>IFERROR(VLOOKUP($C420,merchants!$A$1:$D$41,4,FALSE),"Merchant not found")</f>
        <v>North</v>
      </c>
      <c r="G420" s="5">
        <v>46036.2423611111</v>
      </c>
      <c r="H420" s="1">
        <v>149</v>
      </c>
      <c r="I420" s="1" t="s">
        <v>52</v>
      </c>
      <c r="J420" s="1" t="s">
        <v>50</v>
      </c>
      <c r="K420" s="1">
        <v>47</v>
      </c>
      <c r="L420" s="6">
        <f>IFERROR(HLOOKUP($I420,Reference!$B$1:$E$2,2,FALSE),0)</f>
        <v>0</v>
      </c>
      <c r="M420" s="7">
        <f t="shared" si="0"/>
        <v>46036</v>
      </c>
      <c r="N420" s="3" t="str">
        <f t="shared" si="1"/>
        <v>Regular</v>
      </c>
    </row>
    <row r="421" customHeight="1" spans="1:14">
      <c r="A421" s="1" t="s">
        <v>474</v>
      </c>
      <c r="B421" s="1">
        <v>194</v>
      </c>
      <c r="C421" s="1">
        <v>25</v>
      </c>
      <c r="D421" s="3" t="str">
        <f>IFERROR(VLOOKUP($C421,merchants!$A$1:$D$41,2,FALSE),"Merchant not found")</f>
        <v>Merchant_025</v>
      </c>
      <c r="E421" s="3" t="str">
        <f>IFERROR(VLOOKUP($C421,merchants!$A$1:$D$41,3,FALSE),"Merchant not found")</f>
        <v>travel</v>
      </c>
      <c r="F421" s="3" t="str">
        <f>IFERROR(VLOOKUP($C421,merchants!$A$1:$D$41,4,FALSE),"Merchant not found")</f>
        <v>South</v>
      </c>
      <c r="G421" s="5">
        <v>46051.5194444444</v>
      </c>
      <c r="H421" s="1">
        <v>49</v>
      </c>
      <c r="I421" s="1" t="s">
        <v>49</v>
      </c>
      <c r="J421" s="1" t="s">
        <v>50</v>
      </c>
      <c r="K421" s="1">
        <v>10</v>
      </c>
      <c r="L421" s="6">
        <f>IFERROR(HLOOKUP($I421,Reference!$B$1:$E$2,2,FALSE),0)</f>
        <v>0.015</v>
      </c>
      <c r="M421" s="7">
        <f t="shared" si="0"/>
        <v>46051</v>
      </c>
      <c r="N421" s="3" t="str">
        <f t="shared" si="1"/>
        <v>Regular</v>
      </c>
    </row>
    <row r="422" customHeight="1" spans="1:14">
      <c r="A422" s="1" t="s">
        <v>475</v>
      </c>
      <c r="B422" s="1">
        <v>277</v>
      </c>
      <c r="C422" s="1">
        <v>9</v>
      </c>
      <c r="D422" s="3" t="str">
        <f>IFERROR(VLOOKUP($C422,merchants!$A$1:$D$41,2,FALSE),"Merchant not found")</f>
        <v>Merchant_009</v>
      </c>
      <c r="E422" s="3" t="str">
        <f>IFERROR(VLOOKUP($C422,merchants!$A$1:$D$41,3,FALSE),"Merchant not found")</f>
        <v>ecommerce</v>
      </c>
      <c r="F422" s="3" t="str">
        <f>IFERROR(VLOOKUP($C422,merchants!$A$1:$D$41,4,FALSE),"Merchant not found")</f>
        <v>North</v>
      </c>
      <c r="G422" s="5">
        <v>46044.9131944444</v>
      </c>
      <c r="H422" s="1">
        <v>799</v>
      </c>
      <c r="I422" s="1" t="s">
        <v>52</v>
      </c>
      <c r="J422" s="1" t="s">
        <v>50</v>
      </c>
      <c r="K422" s="1">
        <v>83</v>
      </c>
      <c r="L422" s="6">
        <f>IFERROR(HLOOKUP($I422,Reference!$B$1:$E$2,2,FALSE),0)</f>
        <v>0</v>
      </c>
      <c r="M422" s="7">
        <f t="shared" si="0"/>
        <v>46044</v>
      </c>
      <c r="N422" s="3" t="str">
        <f t="shared" si="1"/>
        <v>Regular</v>
      </c>
    </row>
    <row r="423" customHeight="1" spans="1:14">
      <c r="A423" s="1" t="s">
        <v>476</v>
      </c>
      <c r="B423" s="1">
        <v>92</v>
      </c>
      <c r="C423" s="1">
        <v>35</v>
      </c>
      <c r="D423" s="3" t="str">
        <f>IFERROR(VLOOKUP($C423,merchants!$A$1:$D$41,2,FALSE),"Merchant not found")</f>
        <v>Merchant_035</v>
      </c>
      <c r="E423" s="3" t="str">
        <f>IFERROR(VLOOKUP($C423,merchants!$A$1:$D$41,3,FALSE),"Merchant not found")</f>
        <v>recharge</v>
      </c>
      <c r="F423" s="3" t="str">
        <f>IFERROR(VLOOKUP($C423,merchants!$A$1:$D$41,4,FALSE),"Merchant not found")</f>
        <v>East</v>
      </c>
      <c r="G423" s="5">
        <v>46050.4631944444</v>
      </c>
      <c r="H423" s="1">
        <v>49</v>
      </c>
      <c r="I423" s="1" t="s">
        <v>52</v>
      </c>
      <c r="J423" s="1" t="s">
        <v>50</v>
      </c>
      <c r="K423" s="1">
        <v>50</v>
      </c>
      <c r="L423" s="6">
        <f>IFERROR(HLOOKUP($I423,Reference!$B$1:$E$2,2,FALSE),0)</f>
        <v>0</v>
      </c>
      <c r="M423" s="7">
        <f t="shared" si="0"/>
        <v>46050</v>
      </c>
      <c r="N423" s="3" t="str">
        <f t="shared" si="1"/>
        <v>Regular</v>
      </c>
    </row>
    <row r="424" customHeight="1" spans="1:14">
      <c r="A424" s="1" t="s">
        <v>477</v>
      </c>
      <c r="B424" s="1">
        <v>115</v>
      </c>
      <c r="C424" s="1">
        <v>1</v>
      </c>
      <c r="D424" s="3" t="str">
        <f>IFERROR(VLOOKUP($C424,merchants!$A$1:$D$41,2,FALSE),"Merchant not found")</f>
        <v>Merchant_001</v>
      </c>
      <c r="E424" s="3" t="str">
        <f>IFERROR(VLOOKUP($C424,merchants!$A$1:$D$41,3,FALSE),"Merchant not found")</f>
        <v>ecommerce</v>
      </c>
      <c r="F424" s="3" t="str">
        <f>IFERROR(VLOOKUP($C424,merchants!$A$1:$D$41,4,FALSE),"Merchant not found")</f>
        <v>South</v>
      </c>
      <c r="G424" s="5">
        <v>46039.1986111111</v>
      </c>
      <c r="H424" s="1">
        <v>149</v>
      </c>
      <c r="I424" s="1" t="s">
        <v>49</v>
      </c>
      <c r="J424" s="1" t="s">
        <v>50</v>
      </c>
      <c r="K424" s="1">
        <v>96</v>
      </c>
      <c r="L424" s="6">
        <f>IFERROR(HLOOKUP($I424,Reference!$B$1:$E$2,2,FALSE),0)</f>
        <v>0.015</v>
      </c>
      <c r="M424" s="7">
        <f t="shared" si="0"/>
        <v>46039</v>
      </c>
      <c r="N424" s="3" t="str">
        <f t="shared" si="1"/>
        <v>Regular</v>
      </c>
    </row>
    <row r="425" customHeight="1" spans="1:14">
      <c r="A425" s="1" t="s">
        <v>478</v>
      </c>
      <c r="B425" s="1">
        <v>345</v>
      </c>
      <c r="C425" s="1">
        <v>35</v>
      </c>
      <c r="D425" s="3" t="str">
        <f>IFERROR(VLOOKUP($C425,merchants!$A$1:$D$41,2,FALSE),"Merchant not found")</f>
        <v>Merchant_035</v>
      </c>
      <c r="E425" s="3" t="str">
        <f>IFERROR(VLOOKUP($C425,merchants!$A$1:$D$41,3,FALSE),"Merchant not found")</f>
        <v>recharge</v>
      </c>
      <c r="F425" s="3" t="str">
        <f>IFERROR(VLOOKUP($C425,merchants!$A$1:$D$41,4,FALSE),"Merchant not found")</f>
        <v>East</v>
      </c>
      <c r="G425" s="5">
        <v>46023.3951388889</v>
      </c>
      <c r="H425" s="1">
        <v>499</v>
      </c>
      <c r="I425" s="1" t="s">
        <v>64</v>
      </c>
      <c r="J425" s="1" t="s">
        <v>50</v>
      </c>
      <c r="K425" s="1">
        <v>54</v>
      </c>
      <c r="L425" s="6">
        <f>IFERROR(HLOOKUP($I425,Reference!$B$1:$E$2,2,FALSE),0)</f>
        <v>0.02</v>
      </c>
      <c r="M425" s="7">
        <f t="shared" si="0"/>
        <v>46023</v>
      </c>
      <c r="N425" s="3" t="str">
        <f t="shared" si="1"/>
        <v>Regular</v>
      </c>
    </row>
    <row r="426" customHeight="1" spans="1:14">
      <c r="A426" s="1" t="s">
        <v>479</v>
      </c>
      <c r="B426" s="1">
        <v>118</v>
      </c>
      <c r="C426" s="1">
        <v>16</v>
      </c>
      <c r="D426" s="3" t="str">
        <f>IFERROR(VLOOKUP($C426,merchants!$A$1:$D$41,2,FALSE),"Merchant not found")</f>
        <v>Merchant_016</v>
      </c>
      <c r="E426" s="3" t="str">
        <f>IFERROR(VLOOKUP($C426,merchants!$A$1:$D$41,3,FALSE),"Merchant not found")</f>
        <v>bill_payment</v>
      </c>
      <c r="F426" s="3" t="str">
        <f>IFERROR(VLOOKUP($C426,merchants!$A$1:$D$41,4,FALSE),"Merchant not found")</f>
        <v>West</v>
      </c>
      <c r="G426" s="5">
        <v>46040.5361111111</v>
      </c>
      <c r="H426" s="1">
        <v>49</v>
      </c>
      <c r="I426" s="1" t="s">
        <v>52</v>
      </c>
      <c r="J426" s="1" t="s">
        <v>50</v>
      </c>
      <c r="K426" s="1">
        <v>58</v>
      </c>
      <c r="L426" s="6">
        <f>IFERROR(HLOOKUP($I426,Reference!$B$1:$E$2,2,FALSE),0)</f>
        <v>0</v>
      </c>
      <c r="M426" s="7">
        <f t="shared" si="0"/>
        <v>46040</v>
      </c>
      <c r="N426" s="3" t="str">
        <f t="shared" si="1"/>
        <v>Regular</v>
      </c>
    </row>
    <row r="427" customHeight="1" spans="1:14">
      <c r="A427" s="1" t="s">
        <v>480</v>
      </c>
      <c r="B427" s="1">
        <v>97</v>
      </c>
      <c r="C427" s="1">
        <v>8</v>
      </c>
      <c r="D427" s="3" t="str">
        <f>IFERROR(VLOOKUP($C427,merchants!$A$1:$D$41,2,FALSE),"Merchant not found")</f>
        <v>Merchant_008</v>
      </c>
      <c r="E427" s="3" t="str">
        <f>IFERROR(VLOOKUP($C427,merchants!$A$1:$D$41,3,FALSE),"Merchant not found")</f>
        <v>food_delivery</v>
      </c>
      <c r="F427" s="3" t="str">
        <f>IFERROR(VLOOKUP($C427,merchants!$A$1:$D$41,4,FALSE),"Merchant not found")</f>
        <v>North</v>
      </c>
      <c r="G427" s="5">
        <v>46034.1784722222</v>
      </c>
      <c r="H427" s="1">
        <v>99</v>
      </c>
      <c r="I427" s="1" t="s">
        <v>55</v>
      </c>
      <c r="J427" s="1" t="s">
        <v>50</v>
      </c>
      <c r="K427" s="1">
        <v>4</v>
      </c>
      <c r="L427" s="6">
        <f>IFERROR(HLOOKUP($I427,Reference!$B$1:$E$2,2,FALSE),0)</f>
        <v>0.01</v>
      </c>
      <c r="M427" s="7">
        <f t="shared" si="0"/>
        <v>46034</v>
      </c>
      <c r="N427" s="3" t="str">
        <f t="shared" si="1"/>
        <v>Regular</v>
      </c>
    </row>
    <row r="428" customHeight="1" spans="1:14">
      <c r="A428" s="1" t="s">
        <v>481</v>
      </c>
      <c r="B428" s="1">
        <v>315</v>
      </c>
      <c r="C428" s="1">
        <v>2</v>
      </c>
      <c r="D428" s="3" t="str">
        <f>IFERROR(VLOOKUP($C428,merchants!$A$1:$D$41,2,FALSE),"Merchant not found")</f>
        <v>Merchant_002</v>
      </c>
      <c r="E428" s="3" t="str">
        <f>IFERROR(VLOOKUP($C428,merchants!$A$1:$D$41,3,FALSE),"Merchant not found")</f>
        <v>grocery</v>
      </c>
      <c r="F428" s="3" t="str">
        <f>IFERROR(VLOOKUP($C428,merchants!$A$1:$D$41,4,FALSE),"Merchant not found")</f>
        <v>West</v>
      </c>
      <c r="G428" s="5">
        <v>46048.8930555556</v>
      </c>
      <c r="H428" s="1">
        <v>299</v>
      </c>
      <c r="I428" s="1" t="s">
        <v>49</v>
      </c>
      <c r="J428" s="1" t="s">
        <v>50</v>
      </c>
      <c r="K428" s="1">
        <v>30</v>
      </c>
      <c r="L428" s="6">
        <f>IFERROR(HLOOKUP($I428,Reference!$B$1:$E$2,2,FALSE),0)</f>
        <v>0.015</v>
      </c>
      <c r="M428" s="7">
        <f t="shared" si="0"/>
        <v>46048</v>
      </c>
      <c r="N428" s="3" t="str">
        <f t="shared" si="1"/>
        <v>Regular</v>
      </c>
    </row>
    <row r="429" customHeight="1" spans="1:14">
      <c r="A429" s="1" t="s">
        <v>482</v>
      </c>
      <c r="B429" s="1">
        <v>305</v>
      </c>
      <c r="C429" s="1">
        <v>3</v>
      </c>
      <c r="D429" s="3" t="str">
        <f>IFERROR(VLOOKUP($C429,merchants!$A$1:$D$41,2,FALSE),"Merchant not found")</f>
        <v>Merchant_003</v>
      </c>
      <c r="E429" s="3" t="str">
        <f>IFERROR(VLOOKUP($C429,merchants!$A$1:$D$41,3,FALSE),"Merchant not found")</f>
        <v>grocery</v>
      </c>
      <c r="F429" s="3" t="str">
        <f>IFERROR(VLOOKUP($C429,merchants!$A$1:$D$41,4,FALSE),"Merchant not found")</f>
        <v>East</v>
      </c>
      <c r="G429" s="5">
        <v>46029.0875</v>
      </c>
      <c r="H429" s="1">
        <v>299</v>
      </c>
      <c r="I429" s="1" t="s">
        <v>52</v>
      </c>
      <c r="J429" s="1" t="s">
        <v>50</v>
      </c>
      <c r="K429" s="1">
        <v>57</v>
      </c>
      <c r="L429" s="6">
        <f>IFERROR(HLOOKUP($I429,Reference!$B$1:$E$2,2,FALSE),0)</f>
        <v>0</v>
      </c>
      <c r="M429" s="7">
        <f t="shared" si="0"/>
        <v>46029</v>
      </c>
      <c r="N429" s="3" t="str">
        <f t="shared" si="1"/>
        <v>Regular</v>
      </c>
    </row>
    <row r="430" customHeight="1" spans="1:14">
      <c r="A430" s="1" t="s">
        <v>483</v>
      </c>
      <c r="B430" s="1">
        <v>25</v>
      </c>
      <c r="C430" s="1">
        <v>16</v>
      </c>
      <c r="D430" s="3" t="str">
        <f>IFERROR(VLOOKUP($C430,merchants!$A$1:$D$41,2,FALSE),"Merchant not found")</f>
        <v>Merchant_016</v>
      </c>
      <c r="E430" s="3" t="str">
        <f>IFERROR(VLOOKUP($C430,merchants!$A$1:$D$41,3,FALSE),"Merchant not found")</f>
        <v>bill_payment</v>
      </c>
      <c r="F430" s="3" t="str">
        <f>IFERROR(VLOOKUP($C430,merchants!$A$1:$D$41,4,FALSE),"Merchant not found")</f>
        <v>West</v>
      </c>
      <c r="G430" s="5">
        <v>46042.90625</v>
      </c>
      <c r="H430" s="1">
        <v>299</v>
      </c>
      <c r="I430" s="1" t="s">
        <v>52</v>
      </c>
      <c r="J430" s="1" t="s">
        <v>50</v>
      </c>
      <c r="K430" s="1">
        <v>94</v>
      </c>
      <c r="L430" s="6">
        <f>IFERROR(HLOOKUP($I430,Reference!$B$1:$E$2,2,FALSE),0)</f>
        <v>0</v>
      </c>
      <c r="M430" s="7">
        <f t="shared" si="0"/>
        <v>46042</v>
      </c>
      <c r="N430" s="3" t="str">
        <f t="shared" si="1"/>
        <v>Regular</v>
      </c>
    </row>
    <row r="431" customHeight="1" spans="1:14">
      <c r="A431" s="1" t="s">
        <v>484</v>
      </c>
      <c r="B431" s="1">
        <v>120</v>
      </c>
      <c r="C431" s="1">
        <v>35</v>
      </c>
      <c r="D431" s="3" t="str">
        <f>IFERROR(VLOOKUP($C431,merchants!$A$1:$D$41,2,FALSE),"Merchant not found")</f>
        <v>Merchant_035</v>
      </c>
      <c r="E431" s="3" t="str">
        <f>IFERROR(VLOOKUP($C431,merchants!$A$1:$D$41,3,FALSE),"Merchant not found")</f>
        <v>recharge</v>
      </c>
      <c r="F431" s="3" t="str">
        <f>IFERROR(VLOOKUP($C431,merchants!$A$1:$D$41,4,FALSE),"Merchant not found")</f>
        <v>East</v>
      </c>
      <c r="G431" s="5">
        <v>46024.5194444444</v>
      </c>
      <c r="H431" s="1">
        <v>49</v>
      </c>
      <c r="I431" s="1" t="s">
        <v>52</v>
      </c>
      <c r="J431" s="1" t="s">
        <v>50</v>
      </c>
      <c r="K431" s="1">
        <v>27</v>
      </c>
      <c r="L431" s="6">
        <f>IFERROR(HLOOKUP($I431,Reference!$B$1:$E$2,2,FALSE),0)</f>
        <v>0</v>
      </c>
      <c r="M431" s="7">
        <f t="shared" si="0"/>
        <v>46024</v>
      </c>
      <c r="N431" s="3" t="str">
        <f t="shared" si="1"/>
        <v>Regular</v>
      </c>
    </row>
    <row r="432" customHeight="1" spans="1:14">
      <c r="A432" s="1" t="s">
        <v>485</v>
      </c>
      <c r="B432" s="1">
        <v>258</v>
      </c>
      <c r="C432" s="1">
        <v>19</v>
      </c>
      <c r="D432" s="3" t="str">
        <f>IFERROR(VLOOKUP($C432,merchants!$A$1:$D$41,2,FALSE),"Merchant not found")</f>
        <v>Merchant_019</v>
      </c>
      <c r="E432" s="3" t="str">
        <f>IFERROR(VLOOKUP($C432,merchants!$A$1:$D$41,3,FALSE),"Merchant not found")</f>
        <v>grocery</v>
      </c>
      <c r="F432" s="3" t="str">
        <f>IFERROR(VLOOKUP($C432,merchants!$A$1:$D$41,4,FALSE),"Merchant not found")</f>
        <v>North</v>
      </c>
      <c r="G432" s="5">
        <v>46047.0472222222</v>
      </c>
      <c r="H432" s="1">
        <v>49</v>
      </c>
      <c r="I432" s="1" t="s">
        <v>49</v>
      </c>
      <c r="J432" s="1" t="s">
        <v>50</v>
      </c>
      <c r="K432" s="1">
        <v>29</v>
      </c>
      <c r="L432" s="6">
        <f>IFERROR(HLOOKUP($I432,Reference!$B$1:$E$2,2,FALSE),0)</f>
        <v>0.015</v>
      </c>
      <c r="M432" s="7">
        <f t="shared" si="0"/>
        <v>46047</v>
      </c>
      <c r="N432" s="3" t="str">
        <f t="shared" si="1"/>
        <v>Regular</v>
      </c>
    </row>
    <row r="433" customHeight="1" spans="1:14">
      <c r="A433" s="1" t="s">
        <v>486</v>
      </c>
      <c r="B433" s="1">
        <v>164</v>
      </c>
      <c r="C433" s="1">
        <v>37</v>
      </c>
      <c r="D433" s="3" t="str">
        <f>IFERROR(VLOOKUP($C433,merchants!$A$1:$D$41,2,FALSE),"Merchant not found")</f>
        <v>Merchant_037</v>
      </c>
      <c r="E433" s="3" t="str">
        <f>IFERROR(VLOOKUP($C433,merchants!$A$1:$D$41,3,FALSE),"Merchant not found")</f>
        <v>entertainment</v>
      </c>
      <c r="F433" s="3" t="str">
        <f>IFERROR(VLOOKUP($C433,merchants!$A$1:$D$41,4,FALSE),"Merchant not found")</f>
        <v>South</v>
      </c>
      <c r="G433" s="5">
        <v>46049.9833333333</v>
      </c>
      <c r="H433" s="1">
        <v>799</v>
      </c>
      <c r="I433" s="1" t="s">
        <v>52</v>
      </c>
      <c r="J433" s="1" t="s">
        <v>50</v>
      </c>
      <c r="K433" s="1">
        <v>76</v>
      </c>
      <c r="L433" s="6">
        <f>IFERROR(HLOOKUP($I433,Reference!$B$1:$E$2,2,FALSE),0)</f>
        <v>0</v>
      </c>
      <c r="M433" s="7">
        <f t="shared" si="0"/>
        <v>46049</v>
      </c>
      <c r="N433" s="3" t="str">
        <f t="shared" si="1"/>
        <v>Regular</v>
      </c>
    </row>
    <row r="434" customHeight="1" spans="1:14">
      <c r="A434" s="1" t="s">
        <v>487</v>
      </c>
      <c r="B434" s="1">
        <v>165</v>
      </c>
      <c r="C434" s="1">
        <v>16</v>
      </c>
      <c r="D434" s="3" t="str">
        <f>IFERROR(VLOOKUP($C434,merchants!$A$1:$D$41,2,FALSE),"Merchant not found")</f>
        <v>Merchant_016</v>
      </c>
      <c r="E434" s="3" t="str">
        <f>IFERROR(VLOOKUP($C434,merchants!$A$1:$D$41,3,FALSE),"Merchant not found")</f>
        <v>bill_payment</v>
      </c>
      <c r="F434" s="3" t="str">
        <f>IFERROR(VLOOKUP($C434,merchants!$A$1:$D$41,4,FALSE),"Merchant not found")</f>
        <v>West</v>
      </c>
      <c r="G434" s="5">
        <v>46047.9111111111</v>
      </c>
      <c r="H434" s="1">
        <v>49</v>
      </c>
      <c r="I434" s="1" t="s">
        <v>49</v>
      </c>
      <c r="J434" s="1" t="s">
        <v>50</v>
      </c>
      <c r="K434" s="1">
        <v>38</v>
      </c>
      <c r="L434" s="6">
        <f>IFERROR(HLOOKUP($I434,Reference!$B$1:$E$2,2,FALSE),0)</f>
        <v>0.015</v>
      </c>
      <c r="M434" s="7">
        <f t="shared" si="0"/>
        <v>46047</v>
      </c>
      <c r="N434" s="3" t="str">
        <f t="shared" si="1"/>
        <v>Regular</v>
      </c>
    </row>
    <row r="435" customHeight="1" spans="1:14">
      <c r="A435" s="1" t="s">
        <v>488</v>
      </c>
      <c r="B435" s="1">
        <v>267</v>
      </c>
      <c r="C435" s="1">
        <v>15</v>
      </c>
      <c r="D435" s="3" t="str">
        <f>IFERROR(VLOOKUP($C435,merchants!$A$1:$D$41,2,FALSE),"Merchant not found")</f>
        <v>Merchant_015</v>
      </c>
      <c r="E435" s="3" t="str">
        <f>IFERROR(VLOOKUP($C435,merchants!$A$1:$D$41,3,FALSE),"Merchant not found")</f>
        <v>travel</v>
      </c>
      <c r="F435" s="3" t="str">
        <f>IFERROR(VLOOKUP($C435,merchants!$A$1:$D$41,4,FALSE),"Merchant not found")</f>
        <v>North</v>
      </c>
      <c r="G435" s="5">
        <v>46051.1958333333</v>
      </c>
      <c r="H435" s="1">
        <v>49</v>
      </c>
      <c r="I435" s="1" t="s">
        <v>55</v>
      </c>
      <c r="J435" s="1" t="s">
        <v>50</v>
      </c>
      <c r="K435" s="1">
        <v>52</v>
      </c>
      <c r="L435" s="6">
        <f>IFERROR(HLOOKUP($I435,Reference!$B$1:$E$2,2,FALSE),0)</f>
        <v>0.01</v>
      </c>
      <c r="M435" s="7">
        <f t="shared" si="0"/>
        <v>46051</v>
      </c>
      <c r="N435" s="3" t="str">
        <f t="shared" si="1"/>
        <v>Regular</v>
      </c>
    </row>
    <row r="436" customHeight="1" spans="1:14">
      <c r="A436" s="1" t="s">
        <v>489</v>
      </c>
      <c r="B436" s="1">
        <v>286</v>
      </c>
      <c r="C436" s="1">
        <v>38</v>
      </c>
      <c r="D436" s="3" t="str">
        <f>IFERROR(VLOOKUP($C436,merchants!$A$1:$D$41,2,FALSE),"Merchant not found")</f>
        <v>Merchant_038</v>
      </c>
      <c r="E436" s="3" t="str">
        <f>IFERROR(VLOOKUP($C436,merchants!$A$1:$D$41,3,FALSE),"Merchant not found")</f>
        <v>grocery</v>
      </c>
      <c r="F436" s="3" t="str">
        <f>IFERROR(VLOOKUP($C436,merchants!$A$1:$D$41,4,FALSE),"Merchant not found")</f>
        <v>East</v>
      </c>
      <c r="G436" s="5">
        <v>46032.3354166667</v>
      </c>
      <c r="H436" s="1">
        <v>299</v>
      </c>
      <c r="I436" s="1" t="s">
        <v>49</v>
      </c>
      <c r="J436" s="1" t="s">
        <v>50</v>
      </c>
      <c r="K436" s="1">
        <v>94</v>
      </c>
      <c r="L436" s="6">
        <f>IFERROR(HLOOKUP($I436,Reference!$B$1:$E$2,2,FALSE),0)</f>
        <v>0.015</v>
      </c>
      <c r="M436" s="7">
        <f t="shared" si="0"/>
        <v>46032</v>
      </c>
      <c r="N436" s="3" t="str">
        <f t="shared" si="1"/>
        <v>Regular</v>
      </c>
    </row>
    <row r="437" customHeight="1" spans="1:14">
      <c r="A437" s="1" t="s">
        <v>490</v>
      </c>
      <c r="B437" s="1">
        <v>348</v>
      </c>
      <c r="C437" s="1">
        <v>28</v>
      </c>
      <c r="D437" s="3" t="str">
        <f>IFERROR(VLOOKUP($C437,merchants!$A$1:$D$41,2,FALSE),"Merchant not found")</f>
        <v>Merchant_028</v>
      </c>
      <c r="E437" s="3" t="str">
        <f>IFERROR(VLOOKUP($C437,merchants!$A$1:$D$41,3,FALSE),"Merchant not found")</f>
        <v>ecommerce</v>
      </c>
      <c r="F437" s="3" t="str">
        <f>IFERROR(VLOOKUP($C437,merchants!$A$1:$D$41,4,FALSE),"Merchant not found")</f>
        <v>South</v>
      </c>
      <c r="G437" s="5">
        <v>46052.2361111111</v>
      </c>
      <c r="H437" s="1">
        <v>499</v>
      </c>
      <c r="I437" s="1" t="s">
        <v>64</v>
      </c>
      <c r="J437" s="1" t="s">
        <v>50</v>
      </c>
      <c r="K437" s="1">
        <v>71</v>
      </c>
      <c r="L437" s="6">
        <f>IFERROR(HLOOKUP($I437,Reference!$B$1:$E$2,2,FALSE),0)</f>
        <v>0.02</v>
      </c>
      <c r="M437" s="7">
        <f t="shared" si="0"/>
        <v>46052</v>
      </c>
      <c r="N437" s="3" t="str">
        <f t="shared" si="1"/>
        <v>Regular</v>
      </c>
    </row>
    <row r="438" customHeight="1" spans="1:14">
      <c r="A438" s="1" t="s">
        <v>491</v>
      </c>
      <c r="B438" s="1">
        <v>330</v>
      </c>
      <c r="C438" s="1">
        <v>25</v>
      </c>
      <c r="D438" s="3" t="str">
        <f>IFERROR(VLOOKUP($C438,merchants!$A$1:$D$41,2,FALSE),"Merchant not found")</f>
        <v>Merchant_025</v>
      </c>
      <c r="E438" s="3" t="str">
        <f>IFERROR(VLOOKUP($C438,merchants!$A$1:$D$41,3,FALSE),"Merchant not found")</f>
        <v>travel</v>
      </c>
      <c r="F438" s="3" t="str">
        <f>IFERROR(VLOOKUP($C438,merchants!$A$1:$D$41,4,FALSE),"Merchant not found")</f>
        <v>South</v>
      </c>
      <c r="G438" s="5">
        <v>46038.0569444444</v>
      </c>
      <c r="H438" s="1">
        <v>799</v>
      </c>
      <c r="I438" s="1" t="s">
        <v>52</v>
      </c>
      <c r="J438" s="1" t="s">
        <v>50</v>
      </c>
      <c r="K438" s="1">
        <v>100</v>
      </c>
      <c r="L438" s="6">
        <f>IFERROR(HLOOKUP($I438,Reference!$B$1:$E$2,2,FALSE),0)</f>
        <v>0</v>
      </c>
      <c r="M438" s="7">
        <f t="shared" si="0"/>
        <v>46038</v>
      </c>
      <c r="N438" s="3" t="str">
        <f t="shared" si="1"/>
        <v>Regular</v>
      </c>
    </row>
    <row r="439" customHeight="1" spans="1:14">
      <c r="A439" s="1" t="s">
        <v>492</v>
      </c>
      <c r="B439" s="1">
        <v>214</v>
      </c>
      <c r="C439" s="1">
        <v>27</v>
      </c>
      <c r="D439" s="3" t="str">
        <f>IFERROR(VLOOKUP($C439,merchants!$A$1:$D$41,2,FALSE),"Merchant not found")</f>
        <v>Merchant_027</v>
      </c>
      <c r="E439" s="3" t="str">
        <f>IFERROR(VLOOKUP($C439,merchants!$A$1:$D$41,3,FALSE),"Merchant not found")</f>
        <v>ecommerce</v>
      </c>
      <c r="F439" s="3" t="str">
        <f>IFERROR(VLOOKUP($C439,merchants!$A$1:$D$41,4,FALSE),"Merchant not found")</f>
        <v>North</v>
      </c>
      <c r="G439" s="5">
        <v>46039.4472222222</v>
      </c>
      <c r="H439" s="1">
        <v>299</v>
      </c>
      <c r="I439" s="1" t="s">
        <v>64</v>
      </c>
      <c r="J439" s="1" t="s">
        <v>50</v>
      </c>
      <c r="K439" s="1">
        <v>19</v>
      </c>
      <c r="L439" s="6">
        <f>IFERROR(HLOOKUP($I439,Reference!$B$1:$E$2,2,FALSE),0)</f>
        <v>0.02</v>
      </c>
      <c r="M439" s="7">
        <f t="shared" si="0"/>
        <v>46039</v>
      </c>
      <c r="N439" s="3" t="str">
        <f t="shared" si="1"/>
        <v>Regular</v>
      </c>
    </row>
    <row r="440" customHeight="1" spans="1:14">
      <c r="A440" s="1" t="s">
        <v>493</v>
      </c>
      <c r="B440" s="1">
        <v>276</v>
      </c>
      <c r="C440" s="1">
        <v>31</v>
      </c>
      <c r="D440" s="3" t="str">
        <f>IFERROR(VLOOKUP($C440,merchants!$A$1:$D$41,2,FALSE),"Merchant not found")</f>
        <v>Merchant_031</v>
      </c>
      <c r="E440" s="3" t="str">
        <f>IFERROR(VLOOKUP($C440,merchants!$A$1:$D$41,3,FALSE),"Merchant not found")</f>
        <v>bill_payment</v>
      </c>
      <c r="F440" s="3" t="str">
        <f>IFERROR(VLOOKUP($C440,merchants!$A$1:$D$41,4,FALSE),"Merchant not found")</f>
        <v>East</v>
      </c>
      <c r="G440" s="5">
        <v>46032.5076388889</v>
      </c>
      <c r="H440" s="1">
        <v>499</v>
      </c>
      <c r="I440" s="1" t="s">
        <v>52</v>
      </c>
      <c r="J440" s="1" t="s">
        <v>50</v>
      </c>
      <c r="K440" s="1">
        <v>30</v>
      </c>
      <c r="L440" s="6">
        <f>IFERROR(HLOOKUP($I440,Reference!$B$1:$E$2,2,FALSE),0)</f>
        <v>0</v>
      </c>
      <c r="M440" s="7">
        <f t="shared" si="0"/>
        <v>46032</v>
      </c>
      <c r="N440" s="3" t="str">
        <f t="shared" si="1"/>
        <v>Regular</v>
      </c>
    </row>
    <row r="441" customHeight="1" spans="1:14">
      <c r="A441" s="1" t="s">
        <v>494</v>
      </c>
      <c r="B441" s="1">
        <v>74</v>
      </c>
      <c r="C441" s="1">
        <v>30</v>
      </c>
      <c r="D441" s="3" t="str">
        <f>IFERROR(VLOOKUP($C441,merchants!$A$1:$D$41,2,FALSE),"Merchant not found")</f>
        <v>Merchant_030</v>
      </c>
      <c r="E441" s="3" t="str">
        <f>IFERROR(VLOOKUP($C441,merchants!$A$1:$D$41,3,FALSE),"Merchant not found")</f>
        <v>travel</v>
      </c>
      <c r="F441" s="3" t="str">
        <f>IFERROR(VLOOKUP($C441,merchants!$A$1:$D$41,4,FALSE),"Merchant not found")</f>
        <v>West</v>
      </c>
      <c r="G441" s="5">
        <v>46050.3048611111</v>
      </c>
      <c r="H441" s="1">
        <v>49</v>
      </c>
      <c r="I441" s="1" t="s">
        <v>52</v>
      </c>
      <c r="J441" s="1" t="s">
        <v>50</v>
      </c>
      <c r="K441" s="1">
        <v>7</v>
      </c>
      <c r="L441" s="6">
        <f>IFERROR(HLOOKUP($I441,Reference!$B$1:$E$2,2,FALSE),0)</f>
        <v>0</v>
      </c>
      <c r="M441" s="7">
        <f t="shared" si="0"/>
        <v>46050</v>
      </c>
      <c r="N441" s="3" t="str">
        <f t="shared" si="1"/>
        <v>Regular</v>
      </c>
    </row>
    <row r="442" customHeight="1" spans="1:14">
      <c r="A442" s="1" t="s">
        <v>495</v>
      </c>
      <c r="B442" s="1">
        <v>286</v>
      </c>
      <c r="C442" s="1">
        <v>34</v>
      </c>
      <c r="D442" s="3" t="str">
        <f>IFERROR(VLOOKUP($C442,merchants!$A$1:$D$41,2,FALSE),"Merchant not found")</f>
        <v>Merchant_034</v>
      </c>
      <c r="E442" s="3" t="str">
        <f>IFERROR(VLOOKUP($C442,merchants!$A$1:$D$41,3,FALSE),"Merchant not found")</f>
        <v>travel</v>
      </c>
      <c r="F442" s="3" t="str">
        <f>IFERROR(VLOOKUP($C442,merchants!$A$1:$D$41,4,FALSE),"Merchant not found")</f>
        <v>South</v>
      </c>
      <c r="G442" s="5">
        <v>46040.5597222222</v>
      </c>
      <c r="H442" s="1">
        <v>49</v>
      </c>
      <c r="I442" s="1" t="s">
        <v>64</v>
      </c>
      <c r="J442" s="1" t="s">
        <v>50</v>
      </c>
      <c r="K442" s="1">
        <v>17</v>
      </c>
      <c r="L442" s="6">
        <f>IFERROR(HLOOKUP($I442,Reference!$B$1:$E$2,2,FALSE),0)</f>
        <v>0.02</v>
      </c>
      <c r="M442" s="7">
        <f t="shared" si="0"/>
        <v>46040</v>
      </c>
      <c r="N442" s="3" t="str">
        <f t="shared" si="1"/>
        <v>Regular</v>
      </c>
    </row>
    <row r="443" customHeight="1" spans="1:14">
      <c r="A443" s="1" t="s">
        <v>496</v>
      </c>
      <c r="B443" s="1">
        <v>105</v>
      </c>
      <c r="C443" s="1">
        <v>22</v>
      </c>
      <c r="D443" s="3" t="str">
        <f>IFERROR(VLOOKUP($C443,merchants!$A$1:$D$41,2,FALSE),"Merchant not found")</f>
        <v>Merchant_022</v>
      </c>
      <c r="E443" s="3" t="str">
        <f>IFERROR(VLOOKUP($C443,merchants!$A$1:$D$41,3,FALSE),"Merchant not found")</f>
        <v>travel</v>
      </c>
      <c r="F443" s="3" t="str">
        <f>IFERROR(VLOOKUP($C443,merchants!$A$1:$D$41,4,FALSE),"Merchant not found")</f>
        <v>South</v>
      </c>
      <c r="G443" s="5">
        <v>46035.3027777778</v>
      </c>
      <c r="H443" s="1">
        <v>4999</v>
      </c>
      <c r="I443" s="1" t="s">
        <v>52</v>
      </c>
      <c r="J443" s="1" t="s">
        <v>50</v>
      </c>
      <c r="K443" s="1">
        <v>82</v>
      </c>
      <c r="L443" s="6">
        <f>IFERROR(HLOOKUP($I443,Reference!$B$1:$E$2,2,FALSE),0)</f>
        <v>0</v>
      </c>
      <c r="M443" s="7">
        <f t="shared" si="0"/>
        <v>46035</v>
      </c>
      <c r="N443" s="3" t="str">
        <f t="shared" si="1"/>
        <v>High-Value Merchant Day</v>
      </c>
    </row>
    <row r="444" customHeight="1" spans="1:14">
      <c r="A444" s="1" t="s">
        <v>497</v>
      </c>
      <c r="B444" s="1">
        <v>190</v>
      </c>
      <c r="C444" s="1">
        <v>6</v>
      </c>
      <c r="D444" s="3" t="str">
        <f>IFERROR(VLOOKUP($C444,merchants!$A$1:$D$41,2,FALSE),"Merchant not found")</f>
        <v>Merchant_006</v>
      </c>
      <c r="E444" s="3" t="str">
        <f>IFERROR(VLOOKUP($C444,merchants!$A$1:$D$41,3,FALSE),"Merchant not found")</f>
        <v>food_delivery</v>
      </c>
      <c r="F444" s="3" t="str">
        <f>IFERROR(VLOOKUP($C444,merchants!$A$1:$D$41,4,FALSE),"Merchant not found")</f>
        <v>South</v>
      </c>
      <c r="G444" s="5">
        <v>46025.6208333333</v>
      </c>
      <c r="H444" s="1">
        <v>799</v>
      </c>
      <c r="I444" s="1" t="s">
        <v>49</v>
      </c>
      <c r="J444" s="1" t="s">
        <v>50</v>
      </c>
      <c r="K444" s="1">
        <v>68</v>
      </c>
      <c r="L444" s="6">
        <f>IFERROR(HLOOKUP($I444,Reference!$B$1:$E$2,2,FALSE),0)</f>
        <v>0.015</v>
      </c>
      <c r="M444" s="7">
        <f t="shared" si="0"/>
        <v>46025</v>
      </c>
      <c r="N444" s="3" t="str">
        <f t="shared" si="1"/>
        <v>Regular</v>
      </c>
    </row>
    <row r="445" customHeight="1" spans="1:14">
      <c r="A445" s="1" t="s">
        <v>498</v>
      </c>
      <c r="B445" s="1">
        <v>138</v>
      </c>
      <c r="C445" s="1">
        <v>25</v>
      </c>
      <c r="D445" s="3" t="str">
        <f>IFERROR(VLOOKUP($C445,merchants!$A$1:$D$41,2,FALSE),"Merchant not found")</f>
        <v>Merchant_025</v>
      </c>
      <c r="E445" s="3" t="str">
        <f>IFERROR(VLOOKUP($C445,merchants!$A$1:$D$41,3,FALSE),"Merchant not found")</f>
        <v>travel</v>
      </c>
      <c r="F445" s="3" t="str">
        <f>IFERROR(VLOOKUP($C445,merchants!$A$1:$D$41,4,FALSE),"Merchant not found")</f>
        <v>South</v>
      </c>
      <c r="G445" s="5">
        <v>46046.2520833333</v>
      </c>
      <c r="H445" s="1">
        <v>299</v>
      </c>
      <c r="I445" s="1" t="s">
        <v>49</v>
      </c>
      <c r="J445" s="1" t="s">
        <v>50</v>
      </c>
      <c r="K445" s="1">
        <v>86</v>
      </c>
      <c r="L445" s="6">
        <f>IFERROR(HLOOKUP($I445,Reference!$B$1:$E$2,2,FALSE),0)</f>
        <v>0.015</v>
      </c>
      <c r="M445" s="7">
        <f t="shared" si="0"/>
        <v>46046</v>
      </c>
      <c r="N445" s="3" t="str">
        <f t="shared" si="1"/>
        <v>Regular</v>
      </c>
    </row>
    <row r="446" customHeight="1" spans="1:14">
      <c r="A446" s="1" t="s">
        <v>499</v>
      </c>
      <c r="B446" s="1">
        <v>38</v>
      </c>
      <c r="C446" s="1">
        <v>13</v>
      </c>
      <c r="D446" s="3" t="str">
        <f>IFERROR(VLOOKUP($C446,merchants!$A$1:$D$41,2,FALSE),"Merchant not found")</f>
        <v>Merchant_013</v>
      </c>
      <c r="E446" s="3" t="str">
        <f>IFERROR(VLOOKUP($C446,merchants!$A$1:$D$41,3,FALSE),"Merchant not found")</f>
        <v>travel</v>
      </c>
      <c r="F446" s="3" t="str">
        <f>IFERROR(VLOOKUP($C446,merchants!$A$1:$D$41,4,FALSE),"Merchant not found")</f>
        <v>East</v>
      </c>
      <c r="G446" s="5">
        <v>46042.7930555556</v>
      </c>
      <c r="H446" s="1">
        <v>4999</v>
      </c>
      <c r="I446" s="1" t="s">
        <v>55</v>
      </c>
      <c r="J446" s="1" t="s">
        <v>50</v>
      </c>
      <c r="K446" s="1">
        <v>97</v>
      </c>
      <c r="L446" s="6">
        <f>IFERROR(HLOOKUP($I446,Reference!$B$1:$E$2,2,FALSE),0)</f>
        <v>0.01</v>
      </c>
      <c r="M446" s="7">
        <f t="shared" si="0"/>
        <v>46042</v>
      </c>
      <c r="N446" s="3" t="str">
        <f t="shared" si="1"/>
        <v>Regular</v>
      </c>
    </row>
    <row r="447" customHeight="1" spans="1:14">
      <c r="A447" s="1" t="s">
        <v>500</v>
      </c>
      <c r="B447" s="1">
        <v>287</v>
      </c>
      <c r="C447" s="1">
        <v>14</v>
      </c>
      <c r="D447" s="3" t="str">
        <f>IFERROR(VLOOKUP($C447,merchants!$A$1:$D$41,2,FALSE),"Merchant not found")</f>
        <v>Merchant_014</v>
      </c>
      <c r="E447" s="3" t="str">
        <f>IFERROR(VLOOKUP($C447,merchants!$A$1:$D$41,3,FALSE),"Merchant not found")</f>
        <v>grocery</v>
      </c>
      <c r="F447" s="3" t="str">
        <f>IFERROR(VLOOKUP($C447,merchants!$A$1:$D$41,4,FALSE),"Merchant not found")</f>
        <v>East</v>
      </c>
      <c r="G447" s="5">
        <v>46041.9875</v>
      </c>
      <c r="H447" s="1">
        <v>99</v>
      </c>
      <c r="I447" s="1" t="s">
        <v>49</v>
      </c>
      <c r="J447" s="1" t="s">
        <v>50</v>
      </c>
      <c r="K447" s="1">
        <v>61</v>
      </c>
      <c r="L447" s="6">
        <f>IFERROR(HLOOKUP($I447,Reference!$B$1:$E$2,2,FALSE),0)</f>
        <v>0.015</v>
      </c>
      <c r="M447" s="7">
        <f t="shared" si="0"/>
        <v>46041</v>
      </c>
      <c r="N447" s="3" t="str">
        <f t="shared" si="1"/>
        <v>Regular</v>
      </c>
    </row>
    <row r="448" customHeight="1" spans="1:14">
      <c r="A448" s="1" t="s">
        <v>501</v>
      </c>
      <c r="B448" s="1">
        <v>8</v>
      </c>
      <c r="C448" s="1">
        <v>14</v>
      </c>
      <c r="D448" s="3" t="str">
        <f>IFERROR(VLOOKUP($C448,merchants!$A$1:$D$41,2,FALSE),"Merchant not found")</f>
        <v>Merchant_014</v>
      </c>
      <c r="E448" s="3" t="str">
        <f>IFERROR(VLOOKUP($C448,merchants!$A$1:$D$41,3,FALSE),"Merchant not found")</f>
        <v>grocery</v>
      </c>
      <c r="F448" s="3" t="str">
        <f>IFERROR(VLOOKUP($C448,merchants!$A$1:$D$41,4,FALSE),"Merchant not found")</f>
        <v>East</v>
      </c>
      <c r="G448" s="5">
        <v>46029.4298611111</v>
      </c>
      <c r="H448" s="1">
        <v>49</v>
      </c>
      <c r="I448" s="1" t="s">
        <v>52</v>
      </c>
      <c r="J448" s="1" t="s">
        <v>50</v>
      </c>
      <c r="K448" s="1">
        <v>24</v>
      </c>
      <c r="L448" s="6">
        <f>IFERROR(HLOOKUP($I448,Reference!$B$1:$E$2,2,FALSE),0)</f>
        <v>0</v>
      </c>
      <c r="M448" s="7">
        <f t="shared" si="0"/>
        <v>46029</v>
      </c>
      <c r="N448" s="3" t="str">
        <f t="shared" si="1"/>
        <v>Regular</v>
      </c>
    </row>
    <row r="449" customHeight="1" spans="1:14">
      <c r="A449" s="1" t="s">
        <v>502</v>
      </c>
      <c r="B449" s="1">
        <v>246</v>
      </c>
      <c r="C449" s="1">
        <v>16</v>
      </c>
      <c r="D449" s="3" t="str">
        <f>IFERROR(VLOOKUP($C449,merchants!$A$1:$D$41,2,FALSE),"Merchant not found")</f>
        <v>Merchant_016</v>
      </c>
      <c r="E449" s="3" t="str">
        <f>IFERROR(VLOOKUP($C449,merchants!$A$1:$D$41,3,FALSE),"Merchant not found")</f>
        <v>bill_payment</v>
      </c>
      <c r="F449" s="3" t="str">
        <f>IFERROR(VLOOKUP($C449,merchants!$A$1:$D$41,4,FALSE),"Merchant not found")</f>
        <v>West</v>
      </c>
      <c r="G449" s="5">
        <v>46046.1576388889</v>
      </c>
      <c r="H449" s="1">
        <v>1499</v>
      </c>
      <c r="I449" s="1" t="s">
        <v>49</v>
      </c>
      <c r="J449" s="1" t="s">
        <v>50</v>
      </c>
      <c r="K449" s="1">
        <v>89</v>
      </c>
      <c r="L449" s="6">
        <f>IFERROR(HLOOKUP($I449,Reference!$B$1:$E$2,2,FALSE),0)</f>
        <v>0.015</v>
      </c>
      <c r="M449" s="7">
        <f t="shared" si="0"/>
        <v>46046</v>
      </c>
      <c r="N449" s="3" t="str">
        <f t="shared" si="1"/>
        <v>Regular</v>
      </c>
    </row>
    <row r="450" customHeight="1" spans="1:14">
      <c r="A450" s="1" t="s">
        <v>503</v>
      </c>
      <c r="B450" s="1">
        <v>204</v>
      </c>
      <c r="C450" s="1">
        <v>16</v>
      </c>
      <c r="D450" s="3" t="str">
        <f>IFERROR(VLOOKUP($C450,merchants!$A$1:$D$41,2,FALSE),"Merchant not found")</f>
        <v>Merchant_016</v>
      </c>
      <c r="E450" s="3" t="str">
        <f>IFERROR(VLOOKUP($C450,merchants!$A$1:$D$41,3,FALSE),"Merchant not found")</f>
        <v>bill_payment</v>
      </c>
      <c r="F450" s="3" t="str">
        <f>IFERROR(VLOOKUP($C450,merchants!$A$1:$D$41,4,FALSE),"Merchant not found")</f>
        <v>West</v>
      </c>
      <c r="G450" s="5">
        <v>46042.9256944444</v>
      </c>
      <c r="H450" s="1">
        <v>149</v>
      </c>
      <c r="I450" s="1" t="s">
        <v>52</v>
      </c>
      <c r="J450" s="1" t="s">
        <v>50</v>
      </c>
      <c r="K450" s="1">
        <v>70</v>
      </c>
      <c r="L450" s="6">
        <f>IFERROR(HLOOKUP($I450,Reference!$B$1:$E$2,2,FALSE),0)</f>
        <v>0</v>
      </c>
      <c r="M450" s="7">
        <f t="shared" si="0"/>
        <v>46042</v>
      </c>
      <c r="N450" s="3" t="str">
        <f t="shared" si="1"/>
        <v>Regular</v>
      </c>
    </row>
    <row r="451" customHeight="1" spans="1:14">
      <c r="A451" s="1" t="s">
        <v>504</v>
      </c>
      <c r="B451" s="1">
        <v>239</v>
      </c>
      <c r="C451" s="1">
        <v>35</v>
      </c>
      <c r="D451" s="3" t="str">
        <f>IFERROR(VLOOKUP($C451,merchants!$A$1:$D$41,2,FALSE),"Merchant not found")</f>
        <v>Merchant_035</v>
      </c>
      <c r="E451" s="3" t="str">
        <f>IFERROR(VLOOKUP($C451,merchants!$A$1:$D$41,3,FALSE),"Merchant not found")</f>
        <v>recharge</v>
      </c>
      <c r="F451" s="3" t="str">
        <f>IFERROR(VLOOKUP($C451,merchants!$A$1:$D$41,4,FALSE),"Merchant not found")</f>
        <v>East</v>
      </c>
      <c r="G451" s="5">
        <v>46033.3916666667</v>
      </c>
      <c r="H451" s="1">
        <v>4999</v>
      </c>
      <c r="I451" s="1" t="s">
        <v>52</v>
      </c>
      <c r="J451" s="1" t="s">
        <v>50</v>
      </c>
      <c r="K451" s="1">
        <v>83</v>
      </c>
      <c r="L451" s="6">
        <f>IFERROR(HLOOKUP($I451,Reference!$B$1:$E$2,2,FALSE),0)</f>
        <v>0</v>
      </c>
      <c r="M451" s="7">
        <f t="shared" si="0"/>
        <v>46033</v>
      </c>
      <c r="N451" s="3" t="str">
        <f t="shared" si="1"/>
        <v>Regular</v>
      </c>
    </row>
    <row r="452" customHeight="1" spans="1:14">
      <c r="A452" s="1" t="s">
        <v>505</v>
      </c>
      <c r="B452" s="1">
        <v>185</v>
      </c>
      <c r="C452" s="1">
        <v>33</v>
      </c>
      <c r="D452" s="3" t="str">
        <f>IFERROR(VLOOKUP($C452,merchants!$A$1:$D$41,2,FALSE),"Merchant not found")</f>
        <v>Merchant_033</v>
      </c>
      <c r="E452" s="3" t="str">
        <f>IFERROR(VLOOKUP($C452,merchants!$A$1:$D$41,3,FALSE),"Merchant not found")</f>
        <v>bill_payment</v>
      </c>
      <c r="F452" s="3" t="str">
        <f>IFERROR(VLOOKUP($C452,merchants!$A$1:$D$41,4,FALSE),"Merchant not found")</f>
        <v>East</v>
      </c>
      <c r="G452" s="5">
        <v>46034.3861111111</v>
      </c>
      <c r="H452" s="1">
        <v>299</v>
      </c>
      <c r="I452" s="1" t="s">
        <v>52</v>
      </c>
      <c r="J452" s="1" t="s">
        <v>50</v>
      </c>
      <c r="K452" s="1">
        <v>63</v>
      </c>
      <c r="L452" s="6">
        <f>IFERROR(HLOOKUP($I452,Reference!$B$1:$E$2,2,FALSE),0)</f>
        <v>0</v>
      </c>
      <c r="M452" s="7">
        <f t="shared" si="0"/>
        <v>46034</v>
      </c>
      <c r="N452" s="3" t="str">
        <f t="shared" si="1"/>
        <v>Regular</v>
      </c>
    </row>
    <row r="453" customHeight="1" spans="1:14">
      <c r="A453" s="1" t="s">
        <v>506</v>
      </c>
      <c r="B453" s="1">
        <v>241</v>
      </c>
      <c r="C453" s="1">
        <v>21</v>
      </c>
      <c r="D453" s="3" t="str">
        <f>IFERROR(VLOOKUP($C453,merchants!$A$1:$D$41,2,FALSE),"Merchant not found")</f>
        <v>Merchant_021</v>
      </c>
      <c r="E453" s="3" t="str">
        <f>IFERROR(VLOOKUP($C453,merchants!$A$1:$D$41,3,FALSE),"Merchant not found")</f>
        <v>food_delivery</v>
      </c>
      <c r="F453" s="3" t="str">
        <f>IFERROR(VLOOKUP($C453,merchants!$A$1:$D$41,4,FALSE),"Merchant not found")</f>
        <v>East</v>
      </c>
      <c r="G453" s="5">
        <v>46037.1604166667</v>
      </c>
      <c r="H453" s="1">
        <v>299</v>
      </c>
      <c r="I453" s="1" t="s">
        <v>64</v>
      </c>
      <c r="J453" s="1" t="s">
        <v>50</v>
      </c>
      <c r="K453" s="1">
        <v>26</v>
      </c>
      <c r="L453" s="6">
        <f>IFERROR(HLOOKUP($I453,Reference!$B$1:$E$2,2,FALSE),0)</f>
        <v>0.02</v>
      </c>
      <c r="M453" s="7">
        <f t="shared" si="0"/>
        <v>46037</v>
      </c>
      <c r="N453" s="3" t="str">
        <f t="shared" si="1"/>
        <v>Regular</v>
      </c>
    </row>
    <row r="454" customHeight="1" spans="1:14">
      <c r="A454" s="1" t="s">
        <v>507</v>
      </c>
      <c r="B454" s="1">
        <v>24</v>
      </c>
      <c r="C454" s="1">
        <v>37</v>
      </c>
      <c r="D454" s="3" t="str">
        <f>IFERROR(VLOOKUP($C454,merchants!$A$1:$D$41,2,FALSE),"Merchant not found")</f>
        <v>Merchant_037</v>
      </c>
      <c r="E454" s="3" t="str">
        <f>IFERROR(VLOOKUP($C454,merchants!$A$1:$D$41,3,FALSE),"Merchant not found")</f>
        <v>entertainment</v>
      </c>
      <c r="F454" s="3" t="str">
        <f>IFERROR(VLOOKUP($C454,merchants!$A$1:$D$41,4,FALSE),"Merchant not found")</f>
        <v>South</v>
      </c>
      <c r="G454" s="5">
        <v>46034.4347222222</v>
      </c>
      <c r="H454" s="1">
        <v>149</v>
      </c>
      <c r="I454" s="1" t="s">
        <v>52</v>
      </c>
      <c r="J454" s="1" t="s">
        <v>50</v>
      </c>
      <c r="K454" s="1">
        <v>28</v>
      </c>
      <c r="L454" s="6">
        <f>IFERROR(HLOOKUP($I454,Reference!$B$1:$E$2,2,FALSE),0)</f>
        <v>0</v>
      </c>
      <c r="M454" s="7">
        <f t="shared" si="0"/>
        <v>46034</v>
      </c>
      <c r="N454" s="3" t="str">
        <f t="shared" si="1"/>
        <v>Regular</v>
      </c>
    </row>
    <row r="455" customHeight="1" spans="1:14">
      <c r="A455" s="1" t="s">
        <v>508</v>
      </c>
      <c r="B455" s="1">
        <v>134</v>
      </c>
      <c r="C455" s="1">
        <v>36</v>
      </c>
      <c r="D455" s="3" t="str">
        <f>IFERROR(VLOOKUP($C455,merchants!$A$1:$D$41,2,FALSE),"Merchant not found")</f>
        <v>Merchant_036</v>
      </c>
      <c r="E455" s="3" t="str">
        <f>IFERROR(VLOOKUP($C455,merchants!$A$1:$D$41,3,FALSE),"Merchant not found")</f>
        <v>entertainment</v>
      </c>
      <c r="F455" s="3" t="str">
        <f>IFERROR(VLOOKUP($C455,merchants!$A$1:$D$41,4,FALSE),"Merchant not found")</f>
        <v>East</v>
      </c>
      <c r="G455" s="5">
        <v>46046.1673611111</v>
      </c>
      <c r="H455" s="1">
        <v>1499</v>
      </c>
      <c r="I455" s="1" t="s">
        <v>52</v>
      </c>
      <c r="J455" s="1" t="s">
        <v>50</v>
      </c>
      <c r="K455" s="1">
        <v>74</v>
      </c>
      <c r="L455" s="6">
        <f>IFERROR(HLOOKUP($I455,Reference!$B$1:$E$2,2,FALSE),0)</f>
        <v>0</v>
      </c>
      <c r="M455" s="7">
        <f t="shared" si="0"/>
        <v>46046</v>
      </c>
      <c r="N455" s="3" t="str">
        <f t="shared" si="1"/>
        <v>Regular</v>
      </c>
    </row>
    <row r="456" customHeight="1" spans="1:14">
      <c r="A456" s="1" t="s">
        <v>509</v>
      </c>
      <c r="B456" s="1">
        <v>152</v>
      </c>
      <c r="C456" s="1">
        <v>10</v>
      </c>
      <c r="D456" s="3" t="str">
        <f>IFERROR(VLOOKUP($C456,merchants!$A$1:$D$41,2,FALSE),"Merchant not found")</f>
        <v>Merchant_010</v>
      </c>
      <c r="E456" s="3" t="str">
        <f>IFERROR(VLOOKUP($C456,merchants!$A$1:$D$41,3,FALSE),"Merchant not found")</f>
        <v>grocery</v>
      </c>
      <c r="F456" s="3" t="str">
        <f>IFERROR(VLOOKUP($C456,merchants!$A$1:$D$41,4,FALSE),"Merchant not found")</f>
        <v>West</v>
      </c>
      <c r="G456" s="5">
        <v>46041.9763888889</v>
      </c>
      <c r="H456" s="1">
        <v>499</v>
      </c>
      <c r="I456" s="1" t="s">
        <v>49</v>
      </c>
      <c r="J456" s="1" t="s">
        <v>50</v>
      </c>
      <c r="K456" s="1">
        <v>25</v>
      </c>
      <c r="L456" s="6">
        <f>IFERROR(HLOOKUP($I456,Reference!$B$1:$E$2,2,FALSE),0)</f>
        <v>0.015</v>
      </c>
      <c r="M456" s="7">
        <f t="shared" si="0"/>
        <v>46041</v>
      </c>
      <c r="N456" s="3" t="str">
        <f t="shared" si="1"/>
        <v>Regular</v>
      </c>
    </row>
    <row r="457" customHeight="1" spans="1:14">
      <c r="A457" s="1" t="s">
        <v>510</v>
      </c>
      <c r="B457" s="1">
        <v>292</v>
      </c>
      <c r="C457" s="1">
        <v>16</v>
      </c>
      <c r="D457" s="3" t="str">
        <f>IFERROR(VLOOKUP($C457,merchants!$A$1:$D$41,2,FALSE),"Merchant not found")</f>
        <v>Merchant_016</v>
      </c>
      <c r="E457" s="3" t="str">
        <f>IFERROR(VLOOKUP($C457,merchants!$A$1:$D$41,3,FALSE),"Merchant not found")</f>
        <v>bill_payment</v>
      </c>
      <c r="F457" s="3" t="str">
        <f>IFERROR(VLOOKUP($C457,merchants!$A$1:$D$41,4,FALSE),"Merchant not found")</f>
        <v>West</v>
      </c>
      <c r="G457" s="5">
        <v>46033.3083333333</v>
      </c>
      <c r="H457" s="1">
        <v>499</v>
      </c>
      <c r="I457" s="1" t="s">
        <v>55</v>
      </c>
      <c r="J457" s="1" t="s">
        <v>50</v>
      </c>
      <c r="K457" s="1">
        <v>63</v>
      </c>
      <c r="L457" s="6">
        <f>IFERROR(HLOOKUP($I457,Reference!$B$1:$E$2,2,FALSE),0)</f>
        <v>0.01</v>
      </c>
      <c r="M457" s="7">
        <f t="shared" si="0"/>
        <v>46033</v>
      </c>
      <c r="N457" s="3" t="str">
        <f t="shared" si="1"/>
        <v>Regular</v>
      </c>
    </row>
    <row r="458" customHeight="1" spans="1:14">
      <c r="A458" s="1" t="s">
        <v>511</v>
      </c>
      <c r="B458" s="1">
        <v>173</v>
      </c>
      <c r="C458" s="1">
        <v>17</v>
      </c>
      <c r="D458" s="3" t="str">
        <f>IFERROR(VLOOKUP($C458,merchants!$A$1:$D$41,2,FALSE),"Merchant not found")</f>
        <v>Merchant_017</v>
      </c>
      <c r="E458" s="3" t="str">
        <f>IFERROR(VLOOKUP($C458,merchants!$A$1:$D$41,3,FALSE),"Merchant not found")</f>
        <v>grocery</v>
      </c>
      <c r="F458" s="3" t="str">
        <f>IFERROR(VLOOKUP($C458,merchants!$A$1:$D$41,4,FALSE),"Merchant not found")</f>
        <v>North</v>
      </c>
      <c r="G458" s="5">
        <v>46040.8631944444</v>
      </c>
      <c r="H458" s="1">
        <v>99</v>
      </c>
      <c r="I458" s="1" t="s">
        <v>55</v>
      </c>
      <c r="J458" s="1" t="s">
        <v>50</v>
      </c>
      <c r="K458" s="1">
        <v>97</v>
      </c>
      <c r="L458" s="6">
        <f>IFERROR(HLOOKUP($I458,Reference!$B$1:$E$2,2,FALSE),0)</f>
        <v>0.01</v>
      </c>
      <c r="M458" s="7">
        <f t="shared" si="0"/>
        <v>46040</v>
      </c>
      <c r="N458" s="3" t="str">
        <f t="shared" si="1"/>
        <v>Regular</v>
      </c>
    </row>
    <row r="459" customHeight="1" spans="1:14">
      <c r="A459" s="1" t="s">
        <v>512</v>
      </c>
      <c r="B459" s="1">
        <v>329</v>
      </c>
      <c r="C459" s="1">
        <v>32</v>
      </c>
      <c r="D459" s="3" t="str">
        <f>IFERROR(VLOOKUP($C459,merchants!$A$1:$D$41,2,FALSE),"Merchant not found")</f>
        <v>Merchant_032</v>
      </c>
      <c r="E459" s="3" t="str">
        <f>IFERROR(VLOOKUP($C459,merchants!$A$1:$D$41,3,FALSE),"Merchant not found")</f>
        <v>food_delivery</v>
      </c>
      <c r="F459" s="3" t="str">
        <f>IFERROR(VLOOKUP($C459,merchants!$A$1:$D$41,4,FALSE),"Merchant not found")</f>
        <v>West</v>
      </c>
      <c r="G459" s="5">
        <v>46049.6569444444</v>
      </c>
      <c r="H459" s="1">
        <v>1499</v>
      </c>
      <c r="I459" s="1" t="s">
        <v>52</v>
      </c>
      <c r="J459" s="1" t="s">
        <v>50</v>
      </c>
      <c r="K459" s="1">
        <v>58</v>
      </c>
      <c r="L459" s="6">
        <f>IFERROR(HLOOKUP($I459,Reference!$B$1:$E$2,2,FALSE),0)</f>
        <v>0</v>
      </c>
      <c r="M459" s="7">
        <f t="shared" si="0"/>
        <v>46049</v>
      </c>
      <c r="N459" s="3" t="str">
        <f t="shared" si="1"/>
        <v>Regular</v>
      </c>
    </row>
    <row r="460" customHeight="1" spans="1:14">
      <c r="A460" s="1" t="s">
        <v>513</v>
      </c>
      <c r="B460" s="1">
        <v>181</v>
      </c>
      <c r="C460" s="1">
        <v>11</v>
      </c>
      <c r="D460" s="3" t="str">
        <f>IFERROR(VLOOKUP($C460,merchants!$A$1:$D$41,2,FALSE),"Merchant not found")</f>
        <v>Merchant_011</v>
      </c>
      <c r="E460" s="3" t="str">
        <f>IFERROR(VLOOKUP($C460,merchants!$A$1:$D$41,3,FALSE),"Merchant not found")</f>
        <v>ecommerce</v>
      </c>
      <c r="F460" s="3" t="str">
        <f>IFERROR(VLOOKUP($C460,merchants!$A$1:$D$41,4,FALSE),"Merchant not found")</f>
        <v>North</v>
      </c>
      <c r="G460" s="5">
        <v>46028.9930555556</v>
      </c>
      <c r="H460" s="1">
        <v>1499</v>
      </c>
      <c r="I460" s="1" t="s">
        <v>52</v>
      </c>
      <c r="J460" s="1" t="s">
        <v>50</v>
      </c>
      <c r="K460" s="1">
        <v>17</v>
      </c>
      <c r="L460" s="6">
        <f>IFERROR(HLOOKUP($I460,Reference!$B$1:$E$2,2,FALSE),0)</f>
        <v>0</v>
      </c>
      <c r="M460" s="7">
        <f t="shared" si="0"/>
        <v>46028</v>
      </c>
      <c r="N460" s="3" t="str">
        <f t="shared" si="1"/>
        <v>Regular</v>
      </c>
    </row>
    <row r="461" customHeight="1" spans="1:14">
      <c r="A461" s="1" t="s">
        <v>514</v>
      </c>
      <c r="B461" s="1">
        <v>95</v>
      </c>
      <c r="C461" s="1">
        <v>35</v>
      </c>
      <c r="D461" s="3" t="str">
        <f>IFERROR(VLOOKUP($C461,merchants!$A$1:$D$41,2,FALSE),"Merchant not found")</f>
        <v>Merchant_035</v>
      </c>
      <c r="E461" s="3" t="str">
        <f>IFERROR(VLOOKUP($C461,merchants!$A$1:$D$41,3,FALSE),"Merchant not found")</f>
        <v>recharge</v>
      </c>
      <c r="F461" s="3" t="str">
        <f>IFERROR(VLOOKUP($C461,merchants!$A$1:$D$41,4,FALSE),"Merchant not found")</f>
        <v>East</v>
      </c>
      <c r="G461" s="5">
        <v>46046.7298611111</v>
      </c>
      <c r="H461" s="1">
        <v>149</v>
      </c>
      <c r="I461" s="1" t="s">
        <v>49</v>
      </c>
      <c r="J461" s="1" t="s">
        <v>50</v>
      </c>
      <c r="K461" s="1">
        <v>82</v>
      </c>
      <c r="L461" s="6">
        <f>IFERROR(HLOOKUP($I461,Reference!$B$1:$E$2,2,FALSE),0)</f>
        <v>0.015</v>
      </c>
      <c r="M461" s="7">
        <f t="shared" si="0"/>
        <v>46046</v>
      </c>
      <c r="N461" s="3" t="str">
        <f t="shared" si="1"/>
        <v>Regular</v>
      </c>
    </row>
    <row r="462" customHeight="1" spans="1:14">
      <c r="A462" s="1" t="s">
        <v>515</v>
      </c>
      <c r="B462" s="1">
        <v>39</v>
      </c>
      <c r="C462" s="1">
        <v>4</v>
      </c>
      <c r="D462" s="3" t="str">
        <f>IFERROR(VLOOKUP($C462,merchants!$A$1:$D$41,2,FALSE),"Merchant not found")</f>
        <v>Merchant_004</v>
      </c>
      <c r="E462" s="3" t="str">
        <f>IFERROR(VLOOKUP($C462,merchants!$A$1:$D$41,3,FALSE),"Merchant not found")</f>
        <v>ecommerce</v>
      </c>
      <c r="F462" s="3" t="str">
        <f>IFERROR(VLOOKUP($C462,merchants!$A$1:$D$41,4,FALSE),"Merchant not found")</f>
        <v>East</v>
      </c>
      <c r="G462" s="5">
        <v>46024.6680555556</v>
      </c>
      <c r="H462" s="1">
        <v>149</v>
      </c>
      <c r="I462" s="1" t="s">
        <v>55</v>
      </c>
      <c r="J462" s="1" t="s">
        <v>50</v>
      </c>
      <c r="K462" s="1">
        <v>97</v>
      </c>
      <c r="L462" s="6">
        <f>IFERROR(HLOOKUP($I462,Reference!$B$1:$E$2,2,FALSE),0)</f>
        <v>0.01</v>
      </c>
      <c r="M462" s="7">
        <f t="shared" si="0"/>
        <v>46024</v>
      </c>
      <c r="N462" s="3" t="str">
        <f t="shared" si="1"/>
        <v>Regular</v>
      </c>
    </row>
    <row r="463" customHeight="1" spans="1:14">
      <c r="A463" s="1" t="s">
        <v>516</v>
      </c>
      <c r="B463" s="1">
        <v>323</v>
      </c>
      <c r="C463" s="1">
        <v>15</v>
      </c>
      <c r="D463" s="3" t="str">
        <f>IFERROR(VLOOKUP($C463,merchants!$A$1:$D$41,2,FALSE),"Merchant not found")</f>
        <v>Merchant_015</v>
      </c>
      <c r="E463" s="3" t="str">
        <f>IFERROR(VLOOKUP($C463,merchants!$A$1:$D$41,3,FALSE),"Merchant not found")</f>
        <v>travel</v>
      </c>
      <c r="F463" s="3" t="str">
        <f>IFERROR(VLOOKUP($C463,merchants!$A$1:$D$41,4,FALSE),"Merchant not found")</f>
        <v>North</v>
      </c>
      <c r="G463" s="5">
        <v>46023.5472222222</v>
      </c>
      <c r="H463" s="1">
        <v>499</v>
      </c>
      <c r="I463" s="1" t="s">
        <v>52</v>
      </c>
      <c r="J463" s="1" t="s">
        <v>50</v>
      </c>
      <c r="K463" s="1">
        <v>8</v>
      </c>
      <c r="L463" s="6">
        <f>IFERROR(HLOOKUP($I463,Reference!$B$1:$E$2,2,FALSE),0)</f>
        <v>0</v>
      </c>
      <c r="M463" s="7">
        <f t="shared" si="0"/>
        <v>46023</v>
      </c>
      <c r="N463" s="3" t="str">
        <f t="shared" si="1"/>
        <v>Regular</v>
      </c>
    </row>
    <row r="464" customHeight="1" spans="1:14">
      <c r="A464" s="1" t="s">
        <v>517</v>
      </c>
      <c r="B464" s="1">
        <v>112</v>
      </c>
      <c r="C464" s="1">
        <v>33</v>
      </c>
      <c r="D464" s="3" t="str">
        <f>IFERROR(VLOOKUP($C464,merchants!$A$1:$D$41,2,FALSE),"Merchant not found")</f>
        <v>Merchant_033</v>
      </c>
      <c r="E464" s="3" t="str">
        <f>IFERROR(VLOOKUP($C464,merchants!$A$1:$D$41,3,FALSE),"Merchant not found")</f>
        <v>bill_payment</v>
      </c>
      <c r="F464" s="3" t="str">
        <f>IFERROR(VLOOKUP($C464,merchants!$A$1:$D$41,4,FALSE),"Merchant not found")</f>
        <v>East</v>
      </c>
      <c r="G464" s="5">
        <v>46045.1666666667</v>
      </c>
      <c r="H464" s="1">
        <v>49</v>
      </c>
      <c r="I464" s="1" t="s">
        <v>55</v>
      </c>
      <c r="J464" s="1" t="s">
        <v>50</v>
      </c>
      <c r="K464" s="1">
        <v>58</v>
      </c>
      <c r="L464" s="6">
        <f>IFERROR(HLOOKUP($I464,Reference!$B$1:$E$2,2,FALSE),0)</f>
        <v>0.01</v>
      </c>
      <c r="M464" s="7">
        <f t="shared" si="0"/>
        <v>46045</v>
      </c>
      <c r="N464" s="3" t="str">
        <f t="shared" si="1"/>
        <v>Regular</v>
      </c>
    </row>
    <row r="465" customHeight="1" spans="1:14">
      <c r="A465" s="1" t="s">
        <v>518</v>
      </c>
      <c r="B465" s="1">
        <v>327</v>
      </c>
      <c r="C465" s="1">
        <v>40</v>
      </c>
      <c r="D465" s="3" t="str">
        <f>IFERROR(VLOOKUP($C465,merchants!$A$1:$D$41,2,FALSE),"Merchant not found")</f>
        <v>Merchant_040</v>
      </c>
      <c r="E465" s="3" t="str">
        <f>IFERROR(VLOOKUP($C465,merchants!$A$1:$D$41,3,FALSE),"Merchant not found")</f>
        <v>entertainment</v>
      </c>
      <c r="F465" s="3" t="str">
        <f>IFERROR(VLOOKUP($C465,merchants!$A$1:$D$41,4,FALSE),"Merchant not found")</f>
        <v>South</v>
      </c>
      <c r="G465" s="5">
        <v>46034.06875</v>
      </c>
      <c r="H465" s="1">
        <v>99</v>
      </c>
      <c r="I465" s="1" t="s">
        <v>52</v>
      </c>
      <c r="J465" s="1" t="s">
        <v>50</v>
      </c>
      <c r="K465" s="1">
        <v>61</v>
      </c>
      <c r="L465" s="6">
        <f>IFERROR(HLOOKUP($I465,Reference!$B$1:$E$2,2,FALSE),0)</f>
        <v>0</v>
      </c>
      <c r="M465" s="7">
        <f t="shared" si="0"/>
        <v>46034</v>
      </c>
      <c r="N465" s="3" t="str">
        <f t="shared" si="1"/>
        <v>Regular</v>
      </c>
    </row>
    <row r="466" customHeight="1" spans="1:14">
      <c r="A466" s="1" t="s">
        <v>519</v>
      </c>
      <c r="B466" s="1">
        <v>4</v>
      </c>
      <c r="C466" s="1">
        <v>35</v>
      </c>
      <c r="D466" s="3" t="str">
        <f>IFERROR(VLOOKUP($C466,merchants!$A$1:$D$41,2,FALSE),"Merchant not found")</f>
        <v>Merchant_035</v>
      </c>
      <c r="E466" s="3" t="str">
        <f>IFERROR(VLOOKUP($C466,merchants!$A$1:$D$41,3,FALSE),"Merchant not found")</f>
        <v>recharge</v>
      </c>
      <c r="F466" s="3" t="str">
        <f>IFERROR(VLOOKUP($C466,merchants!$A$1:$D$41,4,FALSE),"Merchant not found")</f>
        <v>East</v>
      </c>
      <c r="G466" s="5">
        <v>46044.6256944444</v>
      </c>
      <c r="H466" s="1">
        <v>299</v>
      </c>
      <c r="I466" s="1" t="s">
        <v>52</v>
      </c>
      <c r="J466" s="1" t="s">
        <v>50</v>
      </c>
      <c r="K466" s="1">
        <v>70</v>
      </c>
      <c r="L466" s="6">
        <f>IFERROR(HLOOKUP($I466,Reference!$B$1:$E$2,2,FALSE),0)</f>
        <v>0</v>
      </c>
      <c r="M466" s="7">
        <f t="shared" si="0"/>
        <v>46044</v>
      </c>
      <c r="N466" s="3" t="str">
        <f t="shared" si="1"/>
        <v>Regular</v>
      </c>
    </row>
    <row r="467" customHeight="1" spans="1:14">
      <c r="A467" s="1" t="s">
        <v>520</v>
      </c>
      <c r="B467" s="1">
        <v>272</v>
      </c>
      <c r="C467" s="1">
        <v>18</v>
      </c>
      <c r="D467" s="3" t="str">
        <f>IFERROR(VLOOKUP($C467,merchants!$A$1:$D$41,2,FALSE),"Merchant not found")</f>
        <v>Merchant_018</v>
      </c>
      <c r="E467" s="3" t="str">
        <f>IFERROR(VLOOKUP($C467,merchants!$A$1:$D$41,3,FALSE),"Merchant not found")</f>
        <v>grocery</v>
      </c>
      <c r="F467" s="3" t="str">
        <f>IFERROR(VLOOKUP($C467,merchants!$A$1:$D$41,4,FALSE),"Merchant not found")</f>
        <v>West</v>
      </c>
      <c r="G467" s="5">
        <v>46036.0006944444</v>
      </c>
      <c r="H467" s="1">
        <v>149</v>
      </c>
      <c r="I467" s="1" t="s">
        <v>52</v>
      </c>
      <c r="J467" s="1" t="s">
        <v>50</v>
      </c>
      <c r="K467" s="1">
        <v>68</v>
      </c>
      <c r="L467" s="6">
        <f>IFERROR(HLOOKUP($I467,Reference!$B$1:$E$2,2,FALSE),0)</f>
        <v>0</v>
      </c>
      <c r="M467" s="7">
        <f t="shared" si="0"/>
        <v>46036</v>
      </c>
      <c r="N467" s="3" t="str">
        <f t="shared" si="1"/>
        <v>Regular</v>
      </c>
    </row>
    <row r="468" customHeight="1" spans="1:14">
      <c r="A468" s="1" t="s">
        <v>521</v>
      </c>
      <c r="B468" s="1">
        <v>346</v>
      </c>
      <c r="C468" s="1">
        <v>28</v>
      </c>
      <c r="D468" s="3" t="str">
        <f>IFERROR(VLOOKUP($C468,merchants!$A$1:$D$41,2,FALSE),"Merchant not found")</f>
        <v>Merchant_028</v>
      </c>
      <c r="E468" s="3" t="str">
        <f>IFERROR(VLOOKUP($C468,merchants!$A$1:$D$41,3,FALSE),"Merchant not found")</f>
        <v>ecommerce</v>
      </c>
      <c r="F468" s="3" t="str">
        <f>IFERROR(VLOOKUP($C468,merchants!$A$1:$D$41,4,FALSE),"Merchant not found")</f>
        <v>South</v>
      </c>
      <c r="G468" s="5">
        <v>46032.0222222222</v>
      </c>
      <c r="H468" s="1">
        <v>499</v>
      </c>
      <c r="I468" s="1" t="s">
        <v>52</v>
      </c>
      <c r="J468" s="1" t="s">
        <v>50</v>
      </c>
      <c r="K468" s="1">
        <v>22</v>
      </c>
      <c r="L468" s="6">
        <f>IFERROR(HLOOKUP($I468,Reference!$B$1:$E$2,2,FALSE),0)</f>
        <v>0</v>
      </c>
      <c r="M468" s="7">
        <f t="shared" si="0"/>
        <v>46032</v>
      </c>
      <c r="N468" s="3" t="str">
        <f t="shared" si="1"/>
        <v>Regular</v>
      </c>
    </row>
    <row r="469" customHeight="1" spans="1:14">
      <c r="A469" s="1" t="s">
        <v>522</v>
      </c>
      <c r="B469" s="1">
        <v>77</v>
      </c>
      <c r="C469" s="1">
        <v>16</v>
      </c>
      <c r="D469" s="3" t="str">
        <f>IFERROR(VLOOKUP($C469,merchants!$A$1:$D$41,2,FALSE),"Merchant not found")</f>
        <v>Merchant_016</v>
      </c>
      <c r="E469" s="3" t="str">
        <f>IFERROR(VLOOKUP($C469,merchants!$A$1:$D$41,3,FALSE),"Merchant not found")</f>
        <v>bill_payment</v>
      </c>
      <c r="F469" s="3" t="str">
        <f>IFERROR(VLOOKUP($C469,merchants!$A$1:$D$41,4,FALSE),"Merchant not found")</f>
        <v>West</v>
      </c>
      <c r="G469" s="5">
        <v>46026.1479166667</v>
      </c>
      <c r="H469" s="1">
        <v>49</v>
      </c>
      <c r="I469" s="1" t="s">
        <v>49</v>
      </c>
      <c r="J469" s="1" t="s">
        <v>50</v>
      </c>
      <c r="K469" s="1">
        <v>24</v>
      </c>
      <c r="L469" s="6">
        <f>IFERROR(HLOOKUP($I469,Reference!$B$1:$E$2,2,FALSE),0)</f>
        <v>0.015</v>
      </c>
      <c r="M469" s="7">
        <f t="shared" si="0"/>
        <v>46026</v>
      </c>
      <c r="N469" s="3" t="str">
        <f t="shared" si="1"/>
        <v>Regular</v>
      </c>
    </row>
    <row r="470" customHeight="1" spans="1:14">
      <c r="A470" s="1" t="s">
        <v>523</v>
      </c>
      <c r="B470" s="1">
        <v>182</v>
      </c>
      <c r="C470" s="1">
        <v>18</v>
      </c>
      <c r="D470" s="3" t="str">
        <f>IFERROR(VLOOKUP($C470,merchants!$A$1:$D$41,2,FALSE),"Merchant not found")</f>
        <v>Merchant_018</v>
      </c>
      <c r="E470" s="3" t="str">
        <f>IFERROR(VLOOKUP($C470,merchants!$A$1:$D$41,3,FALSE),"Merchant not found")</f>
        <v>grocery</v>
      </c>
      <c r="F470" s="3" t="str">
        <f>IFERROR(VLOOKUP($C470,merchants!$A$1:$D$41,4,FALSE),"Merchant not found")</f>
        <v>West</v>
      </c>
      <c r="G470" s="5">
        <v>46042.6777777778</v>
      </c>
      <c r="H470" s="1">
        <v>149</v>
      </c>
      <c r="I470" s="1" t="s">
        <v>64</v>
      </c>
      <c r="J470" s="1" t="s">
        <v>50</v>
      </c>
      <c r="K470" s="1">
        <v>50</v>
      </c>
      <c r="L470" s="6">
        <f>IFERROR(HLOOKUP($I470,Reference!$B$1:$E$2,2,FALSE),0)</f>
        <v>0.02</v>
      </c>
      <c r="M470" s="7">
        <f t="shared" si="0"/>
        <v>46042</v>
      </c>
      <c r="N470" s="3" t="str">
        <f t="shared" si="1"/>
        <v>Regular</v>
      </c>
    </row>
    <row r="471" customHeight="1" spans="1:14">
      <c r="A471" s="1" t="s">
        <v>524</v>
      </c>
      <c r="B471" s="1">
        <v>236</v>
      </c>
      <c r="C471" s="1">
        <v>37</v>
      </c>
      <c r="D471" s="3" t="str">
        <f>IFERROR(VLOOKUP($C471,merchants!$A$1:$D$41,2,FALSE),"Merchant not found")</f>
        <v>Merchant_037</v>
      </c>
      <c r="E471" s="3" t="str">
        <f>IFERROR(VLOOKUP($C471,merchants!$A$1:$D$41,3,FALSE),"Merchant not found")</f>
        <v>entertainment</v>
      </c>
      <c r="F471" s="3" t="str">
        <f>IFERROR(VLOOKUP($C471,merchants!$A$1:$D$41,4,FALSE),"Merchant not found")</f>
        <v>South</v>
      </c>
      <c r="G471" s="5">
        <v>46025.4756944444</v>
      </c>
      <c r="H471" s="1">
        <v>299</v>
      </c>
      <c r="I471" s="1" t="s">
        <v>64</v>
      </c>
      <c r="J471" s="1" t="s">
        <v>50</v>
      </c>
      <c r="K471" s="1">
        <v>31</v>
      </c>
      <c r="L471" s="6">
        <f>IFERROR(HLOOKUP($I471,Reference!$B$1:$E$2,2,FALSE),0)</f>
        <v>0.02</v>
      </c>
      <c r="M471" s="7">
        <f t="shared" si="0"/>
        <v>46025</v>
      </c>
      <c r="N471" s="3" t="str">
        <f t="shared" si="1"/>
        <v>Regular</v>
      </c>
    </row>
    <row r="472" customHeight="1" spans="1:14">
      <c r="A472" s="1" t="s">
        <v>525</v>
      </c>
      <c r="B472" s="1">
        <v>42</v>
      </c>
      <c r="C472" s="1">
        <v>3</v>
      </c>
      <c r="D472" s="3" t="str">
        <f>IFERROR(VLOOKUP($C472,merchants!$A$1:$D$41,2,FALSE),"Merchant not found")</f>
        <v>Merchant_003</v>
      </c>
      <c r="E472" s="3" t="str">
        <f>IFERROR(VLOOKUP($C472,merchants!$A$1:$D$41,3,FALSE),"Merchant not found")</f>
        <v>grocery</v>
      </c>
      <c r="F472" s="3" t="str">
        <f>IFERROR(VLOOKUP($C472,merchants!$A$1:$D$41,4,FALSE),"Merchant not found")</f>
        <v>East</v>
      </c>
      <c r="G472" s="5">
        <v>46045.3048611111</v>
      </c>
      <c r="H472" s="1">
        <v>49</v>
      </c>
      <c r="I472" s="1" t="s">
        <v>52</v>
      </c>
      <c r="J472" s="1" t="s">
        <v>50</v>
      </c>
      <c r="K472" s="1">
        <v>11</v>
      </c>
      <c r="L472" s="6">
        <f>IFERROR(HLOOKUP($I472,Reference!$B$1:$E$2,2,FALSE),0)</f>
        <v>0</v>
      </c>
      <c r="M472" s="7">
        <f t="shared" si="0"/>
        <v>46045</v>
      </c>
      <c r="N472" s="3" t="str">
        <f t="shared" si="1"/>
        <v>Regular</v>
      </c>
    </row>
    <row r="473" customHeight="1" spans="1:14">
      <c r="A473" s="1" t="s">
        <v>526</v>
      </c>
      <c r="B473" s="1">
        <v>283</v>
      </c>
      <c r="C473" s="1">
        <v>31</v>
      </c>
      <c r="D473" s="3" t="str">
        <f>IFERROR(VLOOKUP($C473,merchants!$A$1:$D$41,2,FALSE),"Merchant not found")</f>
        <v>Merchant_031</v>
      </c>
      <c r="E473" s="3" t="str">
        <f>IFERROR(VLOOKUP($C473,merchants!$A$1:$D$41,3,FALSE),"Merchant not found")</f>
        <v>bill_payment</v>
      </c>
      <c r="F473" s="3" t="str">
        <f>IFERROR(VLOOKUP($C473,merchants!$A$1:$D$41,4,FALSE),"Merchant not found")</f>
        <v>East</v>
      </c>
      <c r="G473" s="5">
        <v>46035.5166666667</v>
      </c>
      <c r="H473" s="1">
        <v>299</v>
      </c>
      <c r="I473" s="1" t="s">
        <v>55</v>
      </c>
      <c r="J473" s="1" t="s">
        <v>50</v>
      </c>
      <c r="K473" s="1">
        <v>7</v>
      </c>
      <c r="L473" s="6">
        <f>IFERROR(HLOOKUP($I473,Reference!$B$1:$E$2,2,FALSE),0)</f>
        <v>0.01</v>
      </c>
      <c r="M473" s="7">
        <f t="shared" si="0"/>
        <v>46035</v>
      </c>
      <c r="N473" s="3" t="str">
        <f t="shared" si="1"/>
        <v>Regular</v>
      </c>
    </row>
    <row r="474" customHeight="1" spans="1:14">
      <c r="A474" s="1" t="s">
        <v>527</v>
      </c>
      <c r="B474" s="1">
        <v>88</v>
      </c>
      <c r="C474" s="1">
        <v>6</v>
      </c>
      <c r="D474" s="3" t="str">
        <f>IFERROR(VLOOKUP($C474,merchants!$A$1:$D$41,2,FALSE),"Merchant not found")</f>
        <v>Merchant_006</v>
      </c>
      <c r="E474" s="3" t="str">
        <f>IFERROR(VLOOKUP($C474,merchants!$A$1:$D$41,3,FALSE),"Merchant not found")</f>
        <v>food_delivery</v>
      </c>
      <c r="F474" s="3" t="str">
        <f>IFERROR(VLOOKUP($C474,merchants!$A$1:$D$41,4,FALSE),"Merchant not found")</f>
        <v>South</v>
      </c>
      <c r="G474" s="5">
        <v>46043.0305555556</v>
      </c>
      <c r="H474" s="1">
        <v>49</v>
      </c>
      <c r="I474" s="1" t="s">
        <v>52</v>
      </c>
      <c r="J474" s="1" t="s">
        <v>50</v>
      </c>
      <c r="K474" s="1">
        <v>63</v>
      </c>
      <c r="L474" s="6">
        <f>IFERROR(HLOOKUP($I474,Reference!$B$1:$E$2,2,FALSE),0)</f>
        <v>0</v>
      </c>
      <c r="M474" s="7">
        <f t="shared" si="0"/>
        <v>46043</v>
      </c>
      <c r="N474" s="3" t="str">
        <f t="shared" si="1"/>
        <v>Regular</v>
      </c>
    </row>
    <row r="475" customHeight="1" spans="1:14">
      <c r="A475" s="1" t="s">
        <v>528</v>
      </c>
      <c r="B475" s="1">
        <v>170</v>
      </c>
      <c r="C475" s="1">
        <v>37</v>
      </c>
      <c r="D475" s="3" t="str">
        <f>IFERROR(VLOOKUP($C475,merchants!$A$1:$D$41,2,FALSE),"Merchant not found")</f>
        <v>Merchant_037</v>
      </c>
      <c r="E475" s="3" t="str">
        <f>IFERROR(VLOOKUP($C475,merchants!$A$1:$D$41,3,FALSE),"Merchant not found")</f>
        <v>entertainment</v>
      </c>
      <c r="F475" s="3" t="str">
        <f>IFERROR(VLOOKUP($C475,merchants!$A$1:$D$41,4,FALSE),"Merchant not found")</f>
        <v>South</v>
      </c>
      <c r="G475" s="5">
        <v>46050.5701388889</v>
      </c>
      <c r="H475" s="1">
        <v>99</v>
      </c>
      <c r="I475" s="1" t="s">
        <v>52</v>
      </c>
      <c r="J475" s="1" t="s">
        <v>65</v>
      </c>
      <c r="K475" s="1">
        <v>12</v>
      </c>
      <c r="L475" s="6">
        <f>IFERROR(HLOOKUP($I475,Reference!$B$1:$E$2,2,FALSE),0)</f>
        <v>0</v>
      </c>
      <c r="M475" s="7">
        <f t="shared" si="0"/>
        <v>46050</v>
      </c>
      <c r="N475" s="3" t="str">
        <f t="shared" si="1"/>
        <v>Regular</v>
      </c>
    </row>
    <row r="476" customHeight="1" spans="1:14">
      <c r="A476" s="1" t="s">
        <v>529</v>
      </c>
      <c r="B476" s="1">
        <v>22</v>
      </c>
      <c r="C476" s="1">
        <v>15</v>
      </c>
      <c r="D476" s="3" t="str">
        <f>IFERROR(VLOOKUP($C476,merchants!$A$1:$D$41,2,FALSE),"Merchant not found")</f>
        <v>Merchant_015</v>
      </c>
      <c r="E476" s="3" t="str">
        <f>IFERROR(VLOOKUP($C476,merchants!$A$1:$D$41,3,FALSE),"Merchant not found")</f>
        <v>travel</v>
      </c>
      <c r="F476" s="3" t="str">
        <f>IFERROR(VLOOKUP($C476,merchants!$A$1:$D$41,4,FALSE),"Merchant not found")</f>
        <v>North</v>
      </c>
      <c r="G476" s="5">
        <v>46051.7069444444</v>
      </c>
      <c r="H476" s="1">
        <v>49</v>
      </c>
      <c r="I476" s="1" t="s">
        <v>55</v>
      </c>
      <c r="J476" s="1" t="s">
        <v>50</v>
      </c>
      <c r="K476" s="1">
        <v>27</v>
      </c>
      <c r="L476" s="6">
        <f>IFERROR(HLOOKUP($I476,Reference!$B$1:$E$2,2,FALSE),0)</f>
        <v>0.01</v>
      </c>
      <c r="M476" s="7">
        <f t="shared" si="0"/>
        <v>46051</v>
      </c>
      <c r="N476" s="3" t="str">
        <f t="shared" si="1"/>
        <v>Regular</v>
      </c>
    </row>
    <row r="477" customHeight="1" spans="1:14">
      <c r="A477" s="1" t="s">
        <v>530</v>
      </c>
      <c r="B477" s="1">
        <v>291</v>
      </c>
      <c r="C477" s="1">
        <v>31</v>
      </c>
      <c r="D477" s="3" t="str">
        <f>IFERROR(VLOOKUP($C477,merchants!$A$1:$D$41,2,FALSE),"Merchant not found")</f>
        <v>Merchant_031</v>
      </c>
      <c r="E477" s="3" t="str">
        <f>IFERROR(VLOOKUP($C477,merchants!$A$1:$D$41,3,FALSE),"Merchant not found")</f>
        <v>bill_payment</v>
      </c>
      <c r="F477" s="3" t="str">
        <f>IFERROR(VLOOKUP($C477,merchants!$A$1:$D$41,4,FALSE),"Merchant not found")</f>
        <v>East</v>
      </c>
      <c r="G477" s="5">
        <v>46051.9555555556</v>
      </c>
      <c r="H477" s="1">
        <v>49</v>
      </c>
      <c r="I477" s="1" t="s">
        <v>55</v>
      </c>
      <c r="J477" s="1" t="s">
        <v>65</v>
      </c>
      <c r="K477" s="1">
        <v>34</v>
      </c>
      <c r="L477" s="6">
        <f>IFERROR(HLOOKUP($I477,Reference!$B$1:$E$2,2,FALSE),0)</f>
        <v>0.01</v>
      </c>
      <c r="M477" s="7">
        <f t="shared" si="0"/>
        <v>46051</v>
      </c>
      <c r="N477" s="3" t="str">
        <f t="shared" si="1"/>
        <v>Regular</v>
      </c>
    </row>
    <row r="478" customHeight="1" spans="1:14">
      <c r="A478" s="1" t="s">
        <v>531</v>
      </c>
      <c r="B478" s="1">
        <v>144</v>
      </c>
      <c r="C478" s="1">
        <v>35</v>
      </c>
      <c r="D478" s="3" t="str">
        <f>IFERROR(VLOOKUP($C478,merchants!$A$1:$D$41,2,FALSE),"Merchant not found")</f>
        <v>Merchant_035</v>
      </c>
      <c r="E478" s="3" t="str">
        <f>IFERROR(VLOOKUP($C478,merchants!$A$1:$D$41,3,FALSE),"Merchant not found")</f>
        <v>recharge</v>
      </c>
      <c r="F478" s="3" t="str">
        <f>IFERROR(VLOOKUP($C478,merchants!$A$1:$D$41,4,FALSE),"Merchant not found")</f>
        <v>East</v>
      </c>
      <c r="G478" s="5">
        <v>46024.1131944444</v>
      </c>
      <c r="H478" s="1">
        <v>1499</v>
      </c>
      <c r="I478" s="1" t="s">
        <v>52</v>
      </c>
      <c r="J478" s="1" t="s">
        <v>50</v>
      </c>
      <c r="K478" s="1">
        <v>72</v>
      </c>
      <c r="L478" s="6">
        <f>IFERROR(HLOOKUP($I478,Reference!$B$1:$E$2,2,FALSE),0)</f>
        <v>0</v>
      </c>
      <c r="M478" s="7">
        <f t="shared" si="0"/>
        <v>46024</v>
      </c>
      <c r="N478" s="3" t="str">
        <f t="shared" si="1"/>
        <v>Regular</v>
      </c>
    </row>
    <row r="479" customHeight="1" spans="1:14">
      <c r="A479" s="1" t="s">
        <v>532</v>
      </c>
      <c r="B479" s="1">
        <v>162</v>
      </c>
      <c r="C479" s="1">
        <v>2</v>
      </c>
      <c r="D479" s="3" t="str">
        <f>IFERROR(VLOOKUP($C479,merchants!$A$1:$D$41,2,FALSE),"Merchant not found")</f>
        <v>Merchant_002</v>
      </c>
      <c r="E479" s="3" t="str">
        <f>IFERROR(VLOOKUP($C479,merchants!$A$1:$D$41,3,FALSE),"Merchant not found")</f>
        <v>grocery</v>
      </c>
      <c r="F479" s="3" t="str">
        <f>IFERROR(VLOOKUP($C479,merchants!$A$1:$D$41,4,FALSE),"Merchant not found")</f>
        <v>West</v>
      </c>
      <c r="G479" s="5">
        <v>46044.0493055556</v>
      </c>
      <c r="H479" s="1">
        <v>299</v>
      </c>
      <c r="I479" s="1" t="s">
        <v>49</v>
      </c>
      <c r="J479" s="1" t="s">
        <v>50</v>
      </c>
      <c r="K479" s="1">
        <v>26</v>
      </c>
      <c r="L479" s="6">
        <f>IFERROR(HLOOKUP($I479,Reference!$B$1:$E$2,2,FALSE),0)</f>
        <v>0.015</v>
      </c>
      <c r="M479" s="7">
        <f t="shared" si="0"/>
        <v>46044</v>
      </c>
      <c r="N479" s="3" t="str">
        <f t="shared" si="1"/>
        <v>Regular</v>
      </c>
    </row>
    <row r="480" customHeight="1" spans="1:14">
      <c r="A480" s="1" t="s">
        <v>533</v>
      </c>
      <c r="B480" s="1">
        <v>204</v>
      </c>
      <c r="C480" s="1">
        <v>5</v>
      </c>
      <c r="D480" s="3" t="str">
        <f>IFERROR(VLOOKUP($C480,merchants!$A$1:$D$41,2,FALSE),"Merchant not found")</f>
        <v>Merchant_005</v>
      </c>
      <c r="E480" s="3" t="str">
        <f>IFERROR(VLOOKUP($C480,merchants!$A$1:$D$41,3,FALSE),"Merchant not found")</f>
        <v>recharge</v>
      </c>
      <c r="F480" s="3" t="str">
        <f>IFERROR(VLOOKUP($C480,merchants!$A$1:$D$41,4,FALSE),"Merchant not found")</f>
        <v>South</v>
      </c>
      <c r="G480" s="5">
        <v>46041.2</v>
      </c>
      <c r="H480" s="1">
        <v>49</v>
      </c>
      <c r="I480" s="1" t="s">
        <v>52</v>
      </c>
      <c r="J480" s="1" t="s">
        <v>50</v>
      </c>
      <c r="K480" s="1">
        <v>38</v>
      </c>
      <c r="L480" s="6">
        <f>IFERROR(HLOOKUP($I480,Reference!$B$1:$E$2,2,FALSE),0)</f>
        <v>0</v>
      </c>
      <c r="M480" s="7">
        <f t="shared" si="0"/>
        <v>46041</v>
      </c>
      <c r="N480" s="3" t="str">
        <f t="shared" si="1"/>
        <v>Regular</v>
      </c>
    </row>
    <row r="481" customHeight="1" spans="1:14">
      <c r="A481" s="1" t="s">
        <v>534</v>
      </c>
      <c r="B481" s="1">
        <v>291</v>
      </c>
      <c r="C481" s="1">
        <v>25</v>
      </c>
      <c r="D481" s="3" t="str">
        <f>IFERROR(VLOOKUP($C481,merchants!$A$1:$D$41,2,FALSE),"Merchant not found")</f>
        <v>Merchant_025</v>
      </c>
      <c r="E481" s="3" t="str">
        <f>IFERROR(VLOOKUP($C481,merchants!$A$1:$D$41,3,FALSE),"Merchant not found")</f>
        <v>travel</v>
      </c>
      <c r="F481" s="3" t="str">
        <f>IFERROR(VLOOKUP($C481,merchants!$A$1:$D$41,4,FALSE),"Merchant not found")</f>
        <v>South</v>
      </c>
      <c r="G481" s="5">
        <v>46028.7604166667</v>
      </c>
      <c r="H481" s="1">
        <v>99</v>
      </c>
      <c r="I481" s="1" t="s">
        <v>49</v>
      </c>
      <c r="J481" s="1" t="s">
        <v>50</v>
      </c>
      <c r="K481" s="1">
        <v>86</v>
      </c>
      <c r="L481" s="6">
        <f>IFERROR(HLOOKUP($I481,Reference!$B$1:$E$2,2,FALSE),0)</f>
        <v>0.015</v>
      </c>
      <c r="M481" s="7">
        <f t="shared" si="0"/>
        <v>46028</v>
      </c>
      <c r="N481" s="3" t="str">
        <f t="shared" si="1"/>
        <v>Regular</v>
      </c>
    </row>
    <row r="482" customHeight="1" spans="1:14">
      <c r="A482" s="1" t="s">
        <v>535</v>
      </c>
      <c r="B482" s="1">
        <v>197</v>
      </c>
      <c r="C482" s="1">
        <v>9</v>
      </c>
      <c r="D482" s="3" t="str">
        <f>IFERROR(VLOOKUP($C482,merchants!$A$1:$D$41,2,FALSE),"Merchant not found")</f>
        <v>Merchant_009</v>
      </c>
      <c r="E482" s="3" t="str">
        <f>IFERROR(VLOOKUP($C482,merchants!$A$1:$D$41,3,FALSE),"Merchant not found")</f>
        <v>ecommerce</v>
      </c>
      <c r="F482" s="3" t="str">
        <f>IFERROR(VLOOKUP($C482,merchants!$A$1:$D$41,4,FALSE),"Merchant not found")</f>
        <v>North</v>
      </c>
      <c r="G482" s="5">
        <v>46051.7229166667</v>
      </c>
      <c r="H482" s="1">
        <v>49</v>
      </c>
      <c r="I482" s="1" t="s">
        <v>49</v>
      </c>
      <c r="J482" s="1" t="s">
        <v>65</v>
      </c>
      <c r="K482" s="1">
        <v>88</v>
      </c>
      <c r="L482" s="6">
        <f>IFERROR(HLOOKUP($I482,Reference!$B$1:$E$2,2,FALSE),0)</f>
        <v>0.015</v>
      </c>
      <c r="M482" s="7">
        <f t="shared" si="0"/>
        <v>46051</v>
      </c>
      <c r="N482" s="3" t="str">
        <f t="shared" si="1"/>
        <v>Regular</v>
      </c>
    </row>
    <row r="483" customHeight="1" spans="1:14">
      <c r="A483" s="1" t="s">
        <v>536</v>
      </c>
      <c r="B483" s="1">
        <v>178</v>
      </c>
      <c r="C483" s="1">
        <v>4</v>
      </c>
      <c r="D483" s="3" t="str">
        <f>IFERROR(VLOOKUP($C483,merchants!$A$1:$D$41,2,FALSE),"Merchant not found")</f>
        <v>Merchant_004</v>
      </c>
      <c r="E483" s="3" t="str">
        <f>IFERROR(VLOOKUP($C483,merchants!$A$1:$D$41,3,FALSE),"Merchant not found")</f>
        <v>ecommerce</v>
      </c>
      <c r="F483" s="3" t="str">
        <f>IFERROR(VLOOKUP($C483,merchants!$A$1:$D$41,4,FALSE),"Merchant not found")</f>
        <v>East</v>
      </c>
      <c r="G483" s="5">
        <v>46046.1055555556</v>
      </c>
      <c r="H483" s="1">
        <v>1499</v>
      </c>
      <c r="I483" s="1" t="s">
        <v>52</v>
      </c>
      <c r="J483" s="1" t="s">
        <v>50</v>
      </c>
      <c r="K483" s="1">
        <v>12</v>
      </c>
      <c r="L483" s="6">
        <f>IFERROR(HLOOKUP($I483,Reference!$B$1:$E$2,2,FALSE),0)</f>
        <v>0</v>
      </c>
      <c r="M483" s="7">
        <f t="shared" si="0"/>
        <v>46046</v>
      </c>
      <c r="N483" s="3" t="str">
        <f t="shared" si="1"/>
        <v>Regular</v>
      </c>
    </row>
    <row r="484" customHeight="1" spans="1:14">
      <c r="A484" s="1" t="s">
        <v>537</v>
      </c>
      <c r="B484" s="1">
        <v>39</v>
      </c>
      <c r="C484" s="1">
        <v>22</v>
      </c>
      <c r="D484" s="3" t="str">
        <f>IFERROR(VLOOKUP($C484,merchants!$A$1:$D$41,2,FALSE),"Merchant not found")</f>
        <v>Merchant_022</v>
      </c>
      <c r="E484" s="3" t="str">
        <f>IFERROR(VLOOKUP($C484,merchants!$A$1:$D$41,3,FALSE),"Merchant not found")</f>
        <v>travel</v>
      </c>
      <c r="F484" s="3" t="str">
        <f>IFERROR(VLOOKUP($C484,merchants!$A$1:$D$41,4,FALSE),"Merchant not found")</f>
        <v>South</v>
      </c>
      <c r="G484" s="5">
        <v>46036.3284722222</v>
      </c>
      <c r="H484" s="1">
        <v>799</v>
      </c>
      <c r="I484" s="1" t="s">
        <v>55</v>
      </c>
      <c r="J484" s="1" t="s">
        <v>50</v>
      </c>
      <c r="K484" s="1">
        <v>77</v>
      </c>
      <c r="L484" s="6">
        <f>IFERROR(HLOOKUP($I484,Reference!$B$1:$E$2,2,FALSE),0)</f>
        <v>0.01</v>
      </c>
      <c r="M484" s="7">
        <f t="shared" si="0"/>
        <v>46036</v>
      </c>
      <c r="N484" s="3" t="str">
        <f t="shared" si="1"/>
        <v>Regular</v>
      </c>
    </row>
    <row r="485" customHeight="1" spans="1:14">
      <c r="A485" s="1" t="s">
        <v>538</v>
      </c>
      <c r="B485" s="1">
        <v>204</v>
      </c>
      <c r="C485" s="1">
        <v>21</v>
      </c>
      <c r="D485" s="3" t="str">
        <f>IFERROR(VLOOKUP($C485,merchants!$A$1:$D$41,2,FALSE),"Merchant not found")</f>
        <v>Merchant_021</v>
      </c>
      <c r="E485" s="3" t="str">
        <f>IFERROR(VLOOKUP($C485,merchants!$A$1:$D$41,3,FALSE),"Merchant not found")</f>
        <v>food_delivery</v>
      </c>
      <c r="F485" s="3" t="str">
        <f>IFERROR(VLOOKUP($C485,merchants!$A$1:$D$41,4,FALSE),"Merchant not found")</f>
        <v>East</v>
      </c>
      <c r="G485" s="5">
        <v>46047.8180555556</v>
      </c>
      <c r="H485" s="1">
        <v>299</v>
      </c>
      <c r="I485" s="1" t="s">
        <v>49</v>
      </c>
      <c r="J485" s="1" t="s">
        <v>50</v>
      </c>
      <c r="K485" s="1">
        <v>3</v>
      </c>
      <c r="L485" s="6">
        <f>IFERROR(HLOOKUP($I485,Reference!$B$1:$E$2,2,FALSE),0)</f>
        <v>0.015</v>
      </c>
      <c r="M485" s="7">
        <f t="shared" si="0"/>
        <v>46047</v>
      </c>
      <c r="N485" s="3" t="str">
        <f t="shared" si="1"/>
        <v>Regular</v>
      </c>
    </row>
    <row r="486" customHeight="1" spans="1:14">
      <c r="A486" s="1" t="s">
        <v>539</v>
      </c>
      <c r="B486" s="1">
        <v>231</v>
      </c>
      <c r="C486" s="1">
        <v>32</v>
      </c>
      <c r="D486" s="3" t="str">
        <f>IFERROR(VLOOKUP($C486,merchants!$A$1:$D$41,2,FALSE),"Merchant not found")</f>
        <v>Merchant_032</v>
      </c>
      <c r="E486" s="3" t="str">
        <f>IFERROR(VLOOKUP($C486,merchants!$A$1:$D$41,3,FALSE),"Merchant not found")</f>
        <v>food_delivery</v>
      </c>
      <c r="F486" s="3" t="str">
        <f>IFERROR(VLOOKUP($C486,merchants!$A$1:$D$41,4,FALSE),"Merchant not found")</f>
        <v>West</v>
      </c>
      <c r="G486" s="5">
        <v>46043.3680555556</v>
      </c>
      <c r="H486" s="1">
        <v>299</v>
      </c>
      <c r="I486" s="1" t="s">
        <v>52</v>
      </c>
      <c r="J486" s="1" t="s">
        <v>50</v>
      </c>
      <c r="K486" s="1">
        <v>29</v>
      </c>
      <c r="L486" s="6">
        <f>IFERROR(HLOOKUP($I486,Reference!$B$1:$E$2,2,FALSE),0)</f>
        <v>0</v>
      </c>
      <c r="M486" s="7">
        <f t="shared" si="0"/>
        <v>46043</v>
      </c>
      <c r="N486" s="3" t="str">
        <f t="shared" si="1"/>
        <v>Regular</v>
      </c>
    </row>
    <row r="487" customHeight="1" spans="1:14">
      <c r="A487" s="1" t="s">
        <v>540</v>
      </c>
      <c r="B487" s="1">
        <v>222</v>
      </c>
      <c r="C487" s="1">
        <v>12</v>
      </c>
      <c r="D487" s="3" t="str">
        <f>IFERROR(VLOOKUP($C487,merchants!$A$1:$D$41,2,FALSE),"Merchant not found")</f>
        <v>Merchant_012</v>
      </c>
      <c r="E487" s="3" t="str">
        <f>IFERROR(VLOOKUP($C487,merchants!$A$1:$D$41,3,FALSE),"Merchant not found")</f>
        <v>ecommerce</v>
      </c>
      <c r="F487" s="3" t="str">
        <f>IFERROR(VLOOKUP($C487,merchants!$A$1:$D$41,4,FALSE),"Merchant not found")</f>
        <v>East</v>
      </c>
      <c r="G487" s="5">
        <v>46034.725</v>
      </c>
      <c r="H487" s="1">
        <v>499</v>
      </c>
      <c r="I487" s="1" t="s">
        <v>49</v>
      </c>
      <c r="J487" s="1" t="s">
        <v>65</v>
      </c>
      <c r="K487" s="1">
        <v>87</v>
      </c>
      <c r="L487" s="6">
        <f>IFERROR(HLOOKUP($I487,Reference!$B$1:$E$2,2,FALSE),0)</f>
        <v>0.015</v>
      </c>
      <c r="M487" s="7">
        <f t="shared" si="0"/>
        <v>46034</v>
      </c>
      <c r="N487" s="3" t="str">
        <f t="shared" si="1"/>
        <v>Regular</v>
      </c>
    </row>
    <row r="488" customHeight="1" spans="1:14">
      <c r="A488" s="1" t="s">
        <v>541</v>
      </c>
      <c r="B488" s="1">
        <v>44</v>
      </c>
      <c r="C488" s="1">
        <v>40</v>
      </c>
      <c r="D488" s="3" t="str">
        <f>IFERROR(VLOOKUP($C488,merchants!$A$1:$D$41,2,FALSE),"Merchant not found")</f>
        <v>Merchant_040</v>
      </c>
      <c r="E488" s="3" t="str">
        <f>IFERROR(VLOOKUP($C488,merchants!$A$1:$D$41,3,FALSE),"Merchant not found")</f>
        <v>entertainment</v>
      </c>
      <c r="F488" s="3" t="str">
        <f>IFERROR(VLOOKUP($C488,merchants!$A$1:$D$41,4,FALSE),"Merchant not found")</f>
        <v>South</v>
      </c>
      <c r="G488" s="5">
        <v>46041.8916666667</v>
      </c>
      <c r="H488" s="1">
        <v>499</v>
      </c>
      <c r="I488" s="1" t="s">
        <v>52</v>
      </c>
      <c r="J488" s="1" t="s">
        <v>50</v>
      </c>
      <c r="K488" s="1">
        <v>37</v>
      </c>
      <c r="L488" s="6">
        <f>IFERROR(HLOOKUP($I488,Reference!$B$1:$E$2,2,FALSE),0)</f>
        <v>0</v>
      </c>
      <c r="M488" s="7">
        <f t="shared" si="0"/>
        <v>46041</v>
      </c>
      <c r="N488" s="3" t="str">
        <f t="shared" si="1"/>
        <v>Regular</v>
      </c>
    </row>
    <row r="489" customHeight="1" spans="1:14">
      <c r="A489" s="1" t="s">
        <v>542</v>
      </c>
      <c r="B489" s="1">
        <v>38</v>
      </c>
      <c r="C489" s="1">
        <v>6</v>
      </c>
      <c r="D489" s="3" t="str">
        <f>IFERROR(VLOOKUP($C489,merchants!$A$1:$D$41,2,FALSE),"Merchant not found")</f>
        <v>Merchant_006</v>
      </c>
      <c r="E489" s="3" t="str">
        <f>IFERROR(VLOOKUP($C489,merchants!$A$1:$D$41,3,FALSE),"Merchant not found")</f>
        <v>food_delivery</v>
      </c>
      <c r="F489" s="3" t="str">
        <f>IFERROR(VLOOKUP($C489,merchants!$A$1:$D$41,4,FALSE),"Merchant not found")</f>
        <v>South</v>
      </c>
      <c r="G489" s="5">
        <v>46048.3229166667</v>
      </c>
      <c r="H489" s="1">
        <v>49</v>
      </c>
      <c r="I489" s="1" t="s">
        <v>49</v>
      </c>
      <c r="J489" s="1" t="s">
        <v>50</v>
      </c>
      <c r="K489" s="1">
        <v>34</v>
      </c>
      <c r="L489" s="6">
        <f>IFERROR(HLOOKUP($I489,Reference!$B$1:$E$2,2,FALSE),0)</f>
        <v>0.015</v>
      </c>
      <c r="M489" s="7">
        <f t="shared" si="0"/>
        <v>46048</v>
      </c>
      <c r="N489" s="3" t="str">
        <f t="shared" si="1"/>
        <v>Regular</v>
      </c>
    </row>
    <row r="490" customHeight="1" spans="1:14">
      <c r="A490" s="1" t="s">
        <v>543</v>
      </c>
      <c r="B490" s="1">
        <v>325</v>
      </c>
      <c r="C490" s="1">
        <v>10</v>
      </c>
      <c r="D490" s="3" t="str">
        <f>IFERROR(VLOOKUP($C490,merchants!$A$1:$D$41,2,FALSE),"Merchant not found")</f>
        <v>Merchant_010</v>
      </c>
      <c r="E490" s="3" t="str">
        <f>IFERROR(VLOOKUP($C490,merchants!$A$1:$D$41,3,FALSE),"Merchant not found")</f>
        <v>grocery</v>
      </c>
      <c r="F490" s="3" t="str">
        <f>IFERROR(VLOOKUP($C490,merchants!$A$1:$D$41,4,FALSE),"Merchant not found")</f>
        <v>West</v>
      </c>
      <c r="G490" s="5">
        <v>46027.53125</v>
      </c>
      <c r="H490" s="1">
        <v>49</v>
      </c>
      <c r="I490" s="1" t="s">
        <v>55</v>
      </c>
      <c r="J490" s="1" t="s">
        <v>78</v>
      </c>
      <c r="K490" s="1">
        <v>94</v>
      </c>
      <c r="L490" s="6">
        <f>IFERROR(HLOOKUP($I490,Reference!$B$1:$E$2,2,FALSE),0)</f>
        <v>0.01</v>
      </c>
      <c r="M490" s="7">
        <f t="shared" si="0"/>
        <v>46027</v>
      </c>
      <c r="N490" s="3" t="str">
        <f t="shared" si="1"/>
        <v>Regular</v>
      </c>
    </row>
    <row r="491" customHeight="1" spans="1:14">
      <c r="A491" s="1" t="s">
        <v>544</v>
      </c>
      <c r="B491" s="1">
        <v>55</v>
      </c>
      <c r="C491" s="1">
        <v>6</v>
      </c>
      <c r="D491" s="3" t="str">
        <f>IFERROR(VLOOKUP($C491,merchants!$A$1:$D$41,2,FALSE),"Merchant not found")</f>
        <v>Merchant_006</v>
      </c>
      <c r="E491" s="3" t="str">
        <f>IFERROR(VLOOKUP($C491,merchants!$A$1:$D$41,3,FALSE),"Merchant not found")</f>
        <v>food_delivery</v>
      </c>
      <c r="F491" s="3" t="str">
        <f>IFERROR(VLOOKUP($C491,merchants!$A$1:$D$41,4,FALSE),"Merchant not found")</f>
        <v>South</v>
      </c>
      <c r="G491" s="5">
        <v>46035.4326388889</v>
      </c>
      <c r="H491" s="1">
        <v>1499</v>
      </c>
      <c r="I491" s="1" t="s">
        <v>64</v>
      </c>
      <c r="J491" s="1" t="s">
        <v>50</v>
      </c>
      <c r="K491" s="1">
        <v>0</v>
      </c>
      <c r="L491" s="6">
        <f>IFERROR(HLOOKUP($I491,Reference!$B$1:$E$2,2,FALSE),0)</f>
        <v>0.02</v>
      </c>
      <c r="M491" s="7">
        <f t="shared" si="0"/>
        <v>46035</v>
      </c>
      <c r="N491" s="3" t="str">
        <f t="shared" si="1"/>
        <v>Regular</v>
      </c>
    </row>
    <row r="492" customHeight="1" spans="1:14">
      <c r="A492" s="1" t="s">
        <v>545</v>
      </c>
      <c r="B492" s="1">
        <v>139</v>
      </c>
      <c r="C492" s="1">
        <v>7</v>
      </c>
      <c r="D492" s="3" t="str">
        <f>IFERROR(VLOOKUP($C492,merchants!$A$1:$D$41,2,FALSE),"Merchant not found")</f>
        <v>Merchant_007</v>
      </c>
      <c r="E492" s="3" t="str">
        <f>IFERROR(VLOOKUP($C492,merchants!$A$1:$D$41,3,FALSE),"Merchant not found")</f>
        <v>food_delivery</v>
      </c>
      <c r="F492" s="3" t="str">
        <f>IFERROR(VLOOKUP($C492,merchants!$A$1:$D$41,4,FALSE),"Merchant not found")</f>
        <v>East</v>
      </c>
      <c r="G492" s="5">
        <v>46032.5993055556</v>
      </c>
      <c r="H492" s="1">
        <v>499</v>
      </c>
      <c r="I492" s="1" t="s">
        <v>64</v>
      </c>
      <c r="J492" s="1" t="s">
        <v>50</v>
      </c>
      <c r="K492" s="1">
        <v>16</v>
      </c>
      <c r="L492" s="6">
        <f>IFERROR(HLOOKUP($I492,Reference!$B$1:$E$2,2,FALSE),0)</f>
        <v>0.02</v>
      </c>
      <c r="M492" s="7">
        <f t="shared" si="0"/>
        <v>46032</v>
      </c>
      <c r="N492" s="3" t="str">
        <f t="shared" si="1"/>
        <v>Regular</v>
      </c>
    </row>
    <row r="493" customHeight="1" spans="1:14">
      <c r="A493" s="1" t="s">
        <v>546</v>
      </c>
      <c r="B493" s="1">
        <v>230</v>
      </c>
      <c r="C493" s="1">
        <v>36</v>
      </c>
      <c r="D493" s="3" t="str">
        <f>IFERROR(VLOOKUP($C493,merchants!$A$1:$D$41,2,FALSE),"Merchant not found")</f>
        <v>Merchant_036</v>
      </c>
      <c r="E493" s="3" t="str">
        <f>IFERROR(VLOOKUP($C493,merchants!$A$1:$D$41,3,FALSE),"Merchant not found")</f>
        <v>entertainment</v>
      </c>
      <c r="F493" s="3" t="str">
        <f>IFERROR(VLOOKUP($C493,merchants!$A$1:$D$41,4,FALSE),"Merchant not found")</f>
        <v>East</v>
      </c>
      <c r="G493" s="5">
        <v>46025.2270833333</v>
      </c>
      <c r="H493" s="1">
        <v>99</v>
      </c>
      <c r="I493" s="1" t="s">
        <v>49</v>
      </c>
      <c r="J493" s="1" t="s">
        <v>50</v>
      </c>
      <c r="K493" s="1">
        <v>71</v>
      </c>
      <c r="L493" s="6">
        <f>IFERROR(HLOOKUP($I493,Reference!$B$1:$E$2,2,FALSE),0)</f>
        <v>0.015</v>
      </c>
      <c r="M493" s="7">
        <f t="shared" si="0"/>
        <v>46025</v>
      </c>
      <c r="N493" s="3" t="str">
        <f t="shared" si="1"/>
        <v>Regular</v>
      </c>
    </row>
    <row r="494" customHeight="1" spans="1:14">
      <c r="A494" s="1" t="s">
        <v>547</v>
      </c>
      <c r="B494" s="1">
        <v>14</v>
      </c>
      <c r="C494" s="1">
        <v>6</v>
      </c>
      <c r="D494" s="3" t="str">
        <f>IFERROR(VLOOKUP($C494,merchants!$A$1:$D$41,2,FALSE),"Merchant not found")</f>
        <v>Merchant_006</v>
      </c>
      <c r="E494" s="3" t="str">
        <f>IFERROR(VLOOKUP($C494,merchants!$A$1:$D$41,3,FALSE),"Merchant not found")</f>
        <v>food_delivery</v>
      </c>
      <c r="F494" s="3" t="str">
        <f>IFERROR(VLOOKUP($C494,merchants!$A$1:$D$41,4,FALSE),"Merchant not found")</f>
        <v>South</v>
      </c>
      <c r="G494" s="5">
        <v>46039.5458333333</v>
      </c>
      <c r="H494" s="1">
        <v>799</v>
      </c>
      <c r="I494" s="1" t="s">
        <v>64</v>
      </c>
      <c r="J494" s="1" t="s">
        <v>50</v>
      </c>
      <c r="K494" s="1">
        <v>45</v>
      </c>
      <c r="L494" s="6">
        <f>IFERROR(HLOOKUP($I494,Reference!$B$1:$E$2,2,FALSE),0)</f>
        <v>0.02</v>
      </c>
      <c r="M494" s="7">
        <f t="shared" si="0"/>
        <v>46039</v>
      </c>
      <c r="N494" s="3" t="str">
        <f t="shared" si="1"/>
        <v>Regular</v>
      </c>
    </row>
    <row r="495" customHeight="1" spans="1:14">
      <c r="A495" s="1" t="s">
        <v>548</v>
      </c>
      <c r="B495" s="1">
        <v>307</v>
      </c>
      <c r="C495" s="1">
        <v>21</v>
      </c>
      <c r="D495" s="3" t="str">
        <f>IFERROR(VLOOKUP($C495,merchants!$A$1:$D$41,2,FALSE),"Merchant not found")</f>
        <v>Merchant_021</v>
      </c>
      <c r="E495" s="3" t="str">
        <f>IFERROR(VLOOKUP($C495,merchants!$A$1:$D$41,3,FALSE),"Merchant not found")</f>
        <v>food_delivery</v>
      </c>
      <c r="F495" s="3" t="str">
        <f>IFERROR(VLOOKUP($C495,merchants!$A$1:$D$41,4,FALSE),"Merchant not found")</f>
        <v>East</v>
      </c>
      <c r="G495" s="5">
        <v>46040.1097222222</v>
      </c>
      <c r="H495" s="1">
        <v>799</v>
      </c>
      <c r="I495" s="1" t="s">
        <v>52</v>
      </c>
      <c r="J495" s="1" t="s">
        <v>50</v>
      </c>
      <c r="K495" s="1">
        <v>49</v>
      </c>
      <c r="L495" s="6">
        <f>IFERROR(HLOOKUP($I495,Reference!$B$1:$E$2,2,FALSE),0)</f>
        <v>0</v>
      </c>
      <c r="M495" s="7">
        <f t="shared" si="0"/>
        <v>46040</v>
      </c>
      <c r="N495" s="3" t="str">
        <f t="shared" si="1"/>
        <v>Regular</v>
      </c>
    </row>
    <row r="496" customHeight="1" spans="1:14">
      <c r="A496" s="1" t="s">
        <v>549</v>
      </c>
      <c r="B496" s="1">
        <v>199</v>
      </c>
      <c r="C496" s="1">
        <v>6</v>
      </c>
      <c r="D496" s="3" t="str">
        <f>IFERROR(VLOOKUP($C496,merchants!$A$1:$D$41,2,FALSE),"Merchant not found")</f>
        <v>Merchant_006</v>
      </c>
      <c r="E496" s="3" t="str">
        <f>IFERROR(VLOOKUP($C496,merchants!$A$1:$D$41,3,FALSE),"Merchant not found")</f>
        <v>food_delivery</v>
      </c>
      <c r="F496" s="3" t="str">
        <f>IFERROR(VLOOKUP($C496,merchants!$A$1:$D$41,4,FALSE),"Merchant not found")</f>
        <v>South</v>
      </c>
      <c r="G496" s="5">
        <v>46023.3930555556</v>
      </c>
      <c r="H496" s="1">
        <v>49</v>
      </c>
      <c r="I496" s="1" t="s">
        <v>52</v>
      </c>
      <c r="J496" s="1" t="s">
        <v>50</v>
      </c>
      <c r="K496" s="1">
        <v>92</v>
      </c>
      <c r="L496" s="6">
        <f>IFERROR(HLOOKUP($I496,Reference!$B$1:$E$2,2,FALSE),0)</f>
        <v>0</v>
      </c>
      <c r="M496" s="7">
        <f t="shared" si="0"/>
        <v>46023</v>
      </c>
      <c r="N496" s="3" t="str">
        <f t="shared" si="1"/>
        <v>Regular</v>
      </c>
    </row>
    <row r="497" customHeight="1" spans="1:14">
      <c r="A497" s="1" t="s">
        <v>550</v>
      </c>
      <c r="B497" s="1">
        <v>125</v>
      </c>
      <c r="C497" s="1">
        <v>37</v>
      </c>
      <c r="D497" s="3" t="str">
        <f>IFERROR(VLOOKUP($C497,merchants!$A$1:$D$41,2,FALSE),"Merchant not found")</f>
        <v>Merchant_037</v>
      </c>
      <c r="E497" s="3" t="str">
        <f>IFERROR(VLOOKUP($C497,merchants!$A$1:$D$41,3,FALSE),"Merchant not found")</f>
        <v>entertainment</v>
      </c>
      <c r="F497" s="3" t="str">
        <f>IFERROR(VLOOKUP($C497,merchants!$A$1:$D$41,4,FALSE),"Merchant not found")</f>
        <v>South</v>
      </c>
      <c r="G497" s="5">
        <v>46051.7479166667</v>
      </c>
      <c r="H497" s="1">
        <v>149</v>
      </c>
      <c r="I497" s="1" t="s">
        <v>49</v>
      </c>
      <c r="J497" s="1" t="s">
        <v>50</v>
      </c>
      <c r="K497" s="1">
        <v>66</v>
      </c>
      <c r="L497" s="6">
        <f>IFERROR(HLOOKUP($I497,Reference!$B$1:$E$2,2,FALSE),0)</f>
        <v>0.015</v>
      </c>
      <c r="M497" s="7">
        <f t="shared" si="0"/>
        <v>46051</v>
      </c>
      <c r="N497" s="3" t="str">
        <f t="shared" si="1"/>
        <v>Regular</v>
      </c>
    </row>
    <row r="498" customHeight="1" spans="1:14">
      <c r="A498" s="1" t="s">
        <v>551</v>
      </c>
      <c r="B498" s="1">
        <v>87</v>
      </c>
      <c r="C498" s="1">
        <v>9</v>
      </c>
      <c r="D498" s="3" t="str">
        <f>IFERROR(VLOOKUP($C498,merchants!$A$1:$D$41,2,FALSE),"Merchant not found")</f>
        <v>Merchant_009</v>
      </c>
      <c r="E498" s="3" t="str">
        <f>IFERROR(VLOOKUP($C498,merchants!$A$1:$D$41,3,FALSE),"Merchant not found")</f>
        <v>ecommerce</v>
      </c>
      <c r="F498" s="3" t="str">
        <f>IFERROR(VLOOKUP($C498,merchants!$A$1:$D$41,4,FALSE),"Merchant not found")</f>
        <v>North</v>
      </c>
      <c r="G498" s="5">
        <v>46028.8916666667</v>
      </c>
      <c r="H498" s="1">
        <v>149</v>
      </c>
      <c r="I498" s="1" t="s">
        <v>52</v>
      </c>
      <c r="J498" s="1" t="s">
        <v>50</v>
      </c>
      <c r="K498" s="1">
        <v>34</v>
      </c>
      <c r="L498" s="6">
        <f>IFERROR(HLOOKUP($I498,Reference!$B$1:$E$2,2,FALSE),0)</f>
        <v>0</v>
      </c>
      <c r="M498" s="7">
        <f t="shared" si="0"/>
        <v>46028</v>
      </c>
      <c r="N498" s="3" t="str">
        <f t="shared" si="1"/>
        <v>Regular</v>
      </c>
    </row>
    <row r="499" customHeight="1" spans="1:14">
      <c r="A499" s="1" t="s">
        <v>552</v>
      </c>
      <c r="B499" s="1">
        <v>75</v>
      </c>
      <c r="C499" s="1">
        <v>5</v>
      </c>
      <c r="D499" s="3" t="str">
        <f>IFERROR(VLOOKUP($C499,merchants!$A$1:$D$41,2,FALSE),"Merchant not found")</f>
        <v>Merchant_005</v>
      </c>
      <c r="E499" s="3" t="str">
        <f>IFERROR(VLOOKUP($C499,merchants!$A$1:$D$41,3,FALSE),"Merchant not found")</f>
        <v>recharge</v>
      </c>
      <c r="F499" s="3" t="str">
        <f>IFERROR(VLOOKUP($C499,merchants!$A$1:$D$41,4,FALSE),"Merchant not found")</f>
        <v>South</v>
      </c>
      <c r="G499" s="5">
        <v>46032.3548611111</v>
      </c>
      <c r="H499" s="1">
        <v>99</v>
      </c>
      <c r="I499" s="1" t="s">
        <v>52</v>
      </c>
      <c r="J499" s="1" t="s">
        <v>50</v>
      </c>
      <c r="K499" s="1">
        <v>21</v>
      </c>
      <c r="L499" s="6">
        <f>IFERROR(HLOOKUP($I499,Reference!$B$1:$E$2,2,FALSE),0)</f>
        <v>0</v>
      </c>
      <c r="M499" s="7">
        <f t="shared" si="0"/>
        <v>46032</v>
      </c>
      <c r="N499" s="3" t="str">
        <f t="shared" si="1"/>
        <v>Regular</v>
      </c>
    </row>
    <row r="500" customHeight="1" spans="1:14">
      <c r="A500" s="1" t="s">
        <v>553</v>
      </c>
      <c r="B500" s="1">
        <v>154</v>
      </c>
      <c r="C500" s="1">
        <v>31</v>
      </c>
      <c r="D500" s="3" t="str">
        <f>IFERROR(VLOOKUP($C500,merchants!$A$1:$D$41,2,FALSE),"Merchant not found")</f>
        <v>Merchant_031</v>
      </c>
      <c r="E500" s="3" t="str">
        <f>IFERROR(VLOOKUP($C500,merchants!$A$1:$D$41,3,FALSE),"Merchant not found")</f>
        <v>bill_payment</v>
      </c>
      <c r="F500" s="3" t="str">
        <f>IFERROR(VLOOKUP($C500,merchants!$A$1:$D$41,4,FALSE),"Merchant not found")</f>
        <v>East</v>
      </c>
      <c r="G500" s="5">
        <v>46036.3513888889</v>
      </c>
      <c r="H500" s="1">
        <v>499</v>
      </c>
      <c r="I500" s="1" t="s">
        <v>49</v>
      </c>
      <c r="J500" s="1" t="s">
        <v>50</v>
      </c>
      <c r="K500" s="1">
        <v>100</v>
      </c>
      <c r="L500" s="6">
        <f>IFERROR(HLOOKUP($I500,Reference!$B$1:$E$2,2,FALSE),0)</f>
        <v>0.015</v>
      </c>
      <c r="M500" s="7">
        <f t="shared" si="0"/>
        <v>46036</v>
      </c>
      <c r="N500" s="3" t="str">
        <f t="shared" si="1"/>
        <v>Regular</v>
      </c>
    </row>
    <row r="501" customHeight="1" spans="1:14">
      <c r="A501" s="1" t="s">
        <v>554</v>
      </c>
      <c r="B501" s="1">
        <v>127</v>
      </c>
      <c r="C501" s="1">
        <v>32</v>
      </c>
      <c r="D501" s="3" t="str">
        <f>IFERROR(VLOOKUP($C501,merchants!$A$1:$D$41,2,FALSE),"Merchant not found")</f>
        <v>Merchant_032</v>
      </c>
      <c r="E501" s="3" t="str">
        <f>IFERROR(VLOOKUP($C501,merchants!$A$1:$D$41,3,FALSE),"Merchant not found")</f>
        <v>food_delivery</v>
      </c>
      <c r="F501" s="3" t="str">
        <f>IFERROR(VLOOKUP($C501,merchants!$A$1:$D$41,4,FALSE),"Merchant not found")</f>
        <v>West</v>
      </c>
      <c r="G501" s="5">
        <v>46025.4694444444</v>
      </c>
      <c r="H501" s="1">
        <v>149</v>
      </c>
      <c r="I501" s="1" t="s">
        <v>64</v>
      </c>
      <c r="J501" s="1" t="s">
        <v>50</v>
      </c>
      <c r="K501" s="1">
        <v>76</v>
      </c>
      <c r="L501" s="6">
        <f>IFERROR(HLOOKUP($I501,Reference!$B$1:$E$2,2,FALSE),0)</f>
        <v>0.02</v>
      </c>
      <c r="M501" s="7">
        <f t="shared" si="0"/>
        <v>46025</v>
      </c>
      <c r="N501" s="3" t="str">
        <f t="shared" si="1"/>
        <v>Regular</v>
      </c>
    </row>
    <row r="502" customHeight="1" spans="1:14">
      <c r="A502" s="1" t="s">
        <v>555</v>
      </c>
      <c r="B502" s="1">
        <v>351</v>
      </c>
      <c r="C502" s="1">
        <v>7</v>
      </c>
      <c r="D502" s="3" t="str">
        <f>IFERROR(VLOOKUP($C502,merchants!$A$1:$D$41,2,FALSE),"Merchant not found")</f>
        <v>Merchant_007</v>
      </c>
      <c r="E502" s="3" t="str">
        <f>IFERROR(VLOOKUP($C502,merchants!$A$1:$D$41,3,FALSE),"Merchant not found")</f>
        <v>food_delivery</v>
      </c>
      <c r="F502" s="3" t="str">
        <f>IFERROR(VLOOKUP($C502,merchants!$A$1:$D$41,4,FALSE),"Merchant not found")</f>
        <v>East</v>
      </c>
      <c r="G502" s="5">
        <v>46052.25</v>
      </c>
      <c r="H502" s="1">
        <v>1999</v>
      </c>
      <c r="I502" s="1" t="s">
        <v>64</v>
      </c>
      <c r="J502" s="1" t="s">
        <v>78</v>
      </c>
      <c r="K502" s="1">
        <v>79</v>
      </c>
      <c r="L502" s="6">
        <f>IFERROR(HLOOKUP($I502,Reference!$B$1:$E$2,2,FALSE),0)</f>
        <v>0.02</v>
      </c>
      <c r="M502" s="7">
        <f t="shared" si="0"/>
        <v>46052</v>
      </c>
      <c r="N502" s="3" t="str">
        <f t="shared" si="1"/>
        <v>Regular</v>
      </c>
    </row>
    <row r="503" customHeight="1" spans="1:14">
      <c r="A503" s="1" t="s">
        <v>556</v>
      </c>
      <c r="B503" s="1">
        <v>352</v>
      </c>
      <c r="C503" s="1">
        <v>40</v>
      </c>
      <c r="D503" s="3" t="str">
        <f>IFERROR(VLOOKUP($C503,merchants!$A$1:$D$41,2,FALSE),"Merchant not found")</f>
        <v>Merchant_040</v>
      </c>
      <c r="E503" s="3" t="str">
        <f>IFERROR(VLOOKUP($C503,merchants!$A$1:$D$41,3,FALSE),"Merchant not found")</f>
        <v>entertainment</v>
      </c>
      <c r="F503" s="3" t="str">
        <f>IFERROR(VLOOKUP($C503,merchants!$A$1:$D$41,4,FALSE),"Merchant not found")</f>
        <v>South</v>
      </c>
      <c r="G503" s="5">
        <v>46033.5</v>
      </c>
      <c r="H503" s="1">
        <v>4999</v>
      </c>
      <c r="I503" s="1" t="s">
        <v>64</v>
      </c>
      <c r="J503" s="1" t="s">
        <v>78</v>
      </c>
      <c r="K503" s="1">
        <v>95</v>
      </c>
      <c r="L503" s="6">
        <f>IFERROR(HLOOKUP($I503,Reference!$B$1:$E$2,2,FALSE),0)</f>
        <v>0.02</v>
      </c>
      <c r="M503" s="7">
        <f t="shared" si="0"/>
        <v>46033</v>
      </c>
      <c r="N503" s="3" t="str">
        <f t="shared" si="1"/>
        <v>Regular</v>
      </c>
    </row>
    <row r="504" customHeight="1" spans="1:14">
      <c r="A504" s="1" t="s">
        <v>557</v>
      </c>
      <c r="B504" s="1">
        <v>353</v>
      </c>
      <c r="C504" s="1">
        <v>28</v>
      </c>
      <c r="D504" s="3" t="str">
        <f>IFERROR(VLOOKUP($C504,merchants!$A$1:$D$41,2,FALSE),"Merchant not found")</f>
        <v>Merchant_028</v>
      </c>
      <c r="E504" s="3" t="str">
        <f>IFERROR(VLOOKUP($C504,merchants!$A$1:$D$41,3,FALSE),"Merchant not found")</f>
        <v>ecommerce</v>
      </c>
      <c r="F504" s="3" t="str">
        <f>IFERROR(VLOOKUP($C504,merchants!$A$1:$D$41,4,FALSE),"Merchant not found")</f>
        <v>South</v>
      </c>
      <c r="G504" s="5">
        <v>46043.5833333333</v>
      </c>
      <c r="H504" s="1">
        <v>1999</v>
      </c>
      <c r="I504" s="1" t="s">
        <v>64</v>
      </c>
      <c r="J504" s="1" t="s">
        <v>78</v>
      </c>
      <c r="K504" s="1">
        <v>79</v>
      </c>
      <c r="L504" s="6">
        <f>IFERROR(HLOOKUP($I504,Reference!$B$1:$E$2,2,FALSE),0)</f>
        <v>0.02</v>
      </c>
      <c r="M504" s="7">
        <f t="shared" si="0"/>
        <v>46043</v>
      </c>
      <c r="N504" s="3" t="str">
        <f t="shared" si="1"/>
        <v>Regular</v>
      </c>
    </row>
    <row r="505" customHeight="1" spans="1:14">
      <c r="A505" s="1" t="s">
        <v>558</v>
      </c>
      <c r="B505" s="1">
        <v>354</v>
      </c>
      <c r="C505" s="1">
        <v>13</v>
      </c>
      <c r="D505" s="3" t="str">
        <f>IFERROR(VLOOKUP($C505,merchants!$A$1:$D$41,2,FALSE),"Merchant not found")</f>
        <v>Merchant_013</v>
      </c>
      <c r="E505" s="3" t="str">
        <f>IFERROR(VLOOKUP($C505,merchants!$A$1:$D$41,3,FALSE),"Merchant not found")</f>
        <v>travel</v>
      </c>
      <c r="F505" s="3" t="str">
        <f>IFERROR(VLOOKUP($C505,merchants!$A$1:$D$41,4,FALSE),"Merchant not found")</f>
        <v>East</v>
      </c>
      <c r="G505" s="5">
        <v>46043.7916666667</v>
      </c>
      <c r="H505" s="1">
        <v>4999</v>
      </c>
      <c r="I505" s="1" t="s">
        <v>64</v>
      </c>
      <c r="J505" s="1" t="s">
        <v>78</v>
      </c>
      <c r="K505" s="1">
        <v>80</v>
      </c>
      <c r="L505" s="6">
        <f>IFERROR(HLOOKUP($I505,Reference!$B$1:$E$2,2,FALSE),0)</f>
        <v>0.02</v>
      </c>
      <c r="M505" s="7">
        <f t="shared" si="0"/>
        <v>46043</v>
      </c>
      <c r="N505" s="3" t="str">
        <f t="shared" si="1"/>
        <v>Regular</v>
      </c>
    </row>
    <row r="506" customHeight="1" spans="1:14">
      <c r="A506" s="1" t="s">
        <v>559</v>
      </c>
      <c r="B506" s="1">
        <v>355</v>
      </c>
      <c r="C506" s="1">
        <v>19</v>
      </c>
      <c r="D506" s="3" t="str">
        <f>IFERROR(VLOOKUP($C506,merchants!$A$1:$D$41,2,FALSE),"Merchant not found")</f>
        <v>Merchant_019</v>
      </c>
      <c r="E506" s="3" t="str">
        <f>IFERROR(VLOOKUP($C506,merchants!$A$1:$D$41,3,FALSE),"Merchant not found")</f>
        <v>grocery</v>
      </c>
      <c r="F506" s="3" t="str">
        <f>IFERROR(VLOOKUP($C506,merchants!$A$1:$D$41,4,FALSE),"Merchant not found")</f>
        <v>North</v>
      </c>
      <c r="G506" s="5">
        <v>46038.5</v>
      </c>
      <c r="H506" s="1">
        <v>4999</v>
      </c>
      <c r="I506" s="1" t="s">
        <v>64</v>
      </c>
      <c r="J506" s="1" t="s">
        <v>78</v>
      </c>
      <c r="K506" s="1">
        <v>100</v>
      </c>
      <c r="L506" s="6">
        <f>IFERROR(HLOOKUP($I506,Reference!$B$1:$E$2,2,FALSE),0)</f>
        <v>0.02</v>
      </c>
      <c r="M506" s="7">
        <f t="shared" si="0"/>
        <v>46038</v>
      </c>
      <c r="N506" s="3" t="str">
        <f t="shared" si="1"/>
        <v>Regular</v>
      </c>
    </row>
    <row r="507" customHeight="1" spans="1:14">
      <c r="A507" s="1" t="s">
        <v>560</v>
      </c>
      <c r="B507" s="1">
        <v>356</v>
      </c>
      <c r="C507" s="1">
        <v>25</v>
      </c>
      <c r="D507" s="3" t="str">
        <f>IFERROR(VLOOKUP($C507,merchants!$A$1:$D$41,2,FALSE),"Merchant not found")</f>
        <v>Merchant_025</v>
      </c>
      <c r="E507" s="3" t="str">
        <f>IFERROR(VLOOKUP($C507,merchants!$A$1:$D$41,3,FALSE),"Merchant not found")</f>
        <v>travel</v>
      </c>
      <c r="F507" s="3" t="str">
        <f>IFERROR(VLOOKUP($C507,merchants!$A$1:$D$41,4,FALSE),"Merchant not found")</f>
        <v>South</v>
      </c>
      <c r="G507" s="5">
        <v>46051.2916666667</v>
      </c>
      <c r="H507" s="1">
        <v>2999</v>
      </c>
      <c r="I507" s="1" t="s">
        <v>64</v>
      </c>
      <c r="J507" s="1" t="s">
        <v>78</v>
      </c>
      <c r="K507" s="1">
        <v>96</v>
      </c>
      <c r="L507" s="6">
        <f>IFERROR(HLOOKUP($I507,Reference!$B$1:$E$2,2,FALSE),0)</f>
        <v>0.02</v>
      </c>
      <c r="M507" s="7">
        <f t="shared" si="0"/>
        <v>46051</v>
      </c>
      <c r="N507" s="3" t="str">
        <f t="shared" si="1"/>
        <v>Regular</v>
      </c>
    </row>
    <row r="508" customHeight="1" spans="1:14">
      <c r="A508" s="1" t="s">
        <v>561</v>
      </c>
      <c r="B508" s="1">
        <v>357</v>
      </c>
      <c r="C508" s="1">
        <v>37</v>
      </c>
      <c r="D508" s="3" t="str">
        <f>IFERROR(VLOOKUP($C508,merchants!$A$1:$D$41,2,FALSE),"Merchant not found")</f>
        <v>Merchant_037</v>
      </c>
      <c r="E508" s="3" t="str">
        <f>IFERROR(VLOOKUP($C508,merchants!$A$1:$D$41,3,FALSE),"Merchant not found")</f>
        <v>entertainment</v>
      </c>
      <c r="F508" s="3" t="str">
        <f>IFERROR(VLOOKUP($C508,merchants!$A$1:$D$41,4,FALSE),"Merchant not found")</f>
        <v>South</v>
      </c>
      <c r="G508" s="5">
        <v>46045.4583333333</v>
      </c>
      <c r="H508" s="1">
        <v>1999</v>
      </c>
      <c r="I508" s="1" t="s">
        <v>64</v>
      </c>
      <c r="J508" s="1" t="s">
        <v>78</v>
      </c>
      <c r="K508" s="1">
        <v>88</v>
      </c>
      <c r="L508" s="6">
        <f>IFERROR(HLOOKUP($I508,Reference!$B$1:$E$2,2,FALSE),0)</f>
        <v>0.02</v>
      </c>
      <c r="M508" s="7">
        <f t="shared" si="0"/>
        <v>46045</v>
      </c>
      <c r="N508" s="3" t="str">
        <f t="shared" si="1"/>
        <v>Regular</v>
      </c>
    </row>
    <row r="509" customHeight="1" spans="1:14">
      <c r="A509" s="1" t="s">
        <v>562</v>
      </c>
      <c r="B509" s="1">
        <v>358</v>
      </c>
      <c r="C509" s="1">
        <v>36</v>
      </c>
      <c r="D509" s="3" t="str">
        <f>IFERROR(VLOOKUP($C509,merchants!$A$1:$D$41,2,FALSE),"Merchant not found")</f>
        <v>Merchant_036</v>
      </c>
      <c r="E509" s="3" t="str">
        <f>IFERROR(VLOOKUP($C509,merchants!$A$1:$D$41,3,FALSE),"Merchant not found")</f>
        <v>entertainment</v>
      </c>
      <c r="F509" s="3" t="str">
        <f>IFERROR(VLOOKUP($C509,merchants!$A$1:$D$41,4,FALSE),"Merchant not found")</f>
        <v>East</v>
      </c>
      <c r="G509" s="5">
        <v>46050.2083333333</v>
      </c>
      <c r="H509" s="1">
        <v>999</v>
      </c>
      <c r="I509" s="1" t="s">
        <v>64</v>
      </c>
      <c r="J509" s="1" t="s">
        <v>78</v>
      </c>
      <c r="K509" s="1">
        <v>100</v>
      </c>
      <c r="L509" s="6">
        <f>IFERROR(HLOOKUP($I509,Reference!$B$1:$E$2,2,FALSE),0)</f>
        <v>0.02</v>
      </c>
      <c r="M509" s="7">
        <f t="shared" si="0"/>
        <v>46050</v>
      </c>
      <c r="N509" s="3" t="str">
        <f t="shared" si="1"/>
        <v>Regular</v>
      </c>
    </row>
    <row r="510" customHeight="1" spans="1:14">
      <c r="A510" s="1" t="s">
        <v>563</v>
      </c>
      <c r="B510" s="1">
        <v>359</v>
      </c>
      <c r="C510" s="1">
        <v>29</v>
      </c>
      <c r="D510" s="3" t="str">
        <f>IFERROR(VLOOKUP($C510,merchants!$A$1:$D$41,2,FALSE),"Merchant not found")</f>
        <v>Merchant_029</v>
      </c>
      <c r="E510" s="3" t="str">
        <f>IFERROR(VLOOKUP($C510,merchants!$A$1:$D$41,3,FALSE),"Merchant not found")</f>
        <v>ecommerce</v>
      </c>
      <c r="F510" s="3" t="str">
        <f>IFERROR(VLOOKUP($C510,merchants!$A$1:$D$41,4,FALSE),"Merchant not found")</f>
        <v>North</v>
      </c>
      <c r="G510" s="5">
        <v>46047.9166666667</v>
      </c>
      <c r="H510" s="1">
        <v>2999</v>
      </c>
      <c r="I510" s="1" t="s">
        <v>64</v>
      </c>
      <c r="J510" s="1" t="s">
        <v>78</v>
      </c>
      <c r="K510" s="1">
        <v>96</v>
      </c>
      <c r="L510" s="6">
        <f>IFERROR(HLOOKUP($I510,Reference!$B$1:$E$2,2,FALSE),0)</f>
        <v>0.02</v>
      </c>
      <c r="M510" s="7">
        <f t="shared" si="0"/>
        <v>46047</v>
      </c>
      <c r="N510" s="3" t="str">
        <f t="shared" si="1"/>
        <v>Regular</v>
      </c>
    </row>
    <row r="511" customHeight="1" spans="1:14">
      <c r="A511" s="1" t="s">
        <v>564</v>
      </c>
      <c r="B511" s="1">
        <v>360</v>
      </c>
      <c r="C511" s="1">
        <v>32</v>
      </c>
      <c r="D511" s="3" t="str">
        <f>IFERROR(VLOOKUP($C511,merchants!$A$1:$D$41,2,FALSE),"Merchant not found")</f>
        <v>Merchant_032</v>
      </c>
      <c r="E511" s="3" t="str">
        <f>IFERROR(VLOOKUP($C511,merchants!$A$1:$D$41,3,FALSE),"Merchant not found")</f>
        <v>food_delivery</v>
      </c>
      <c r="F511" s="3" t="str">
        <f>IFERROR(VLOOKUP($C511,merchants!$A$1:$D$41,4,FALSE),"Merchant not found")</f>
        <v>West</v>
      </c>
      <c r="G511" s="5">
        <v>46035.5416666667</v>
      </c>
      <c r="H511" s="1">
        <v>1999</v>
      </c>
      <c r="I511" s="1" t="s">
        <v>64</v>
      </c>
      <c r="J511" s="1" t="s">
        <v>78</v>
      </c>
      <c r="K511" s="1">
        <v>90</v>
      </c>
      <c r="L511" s="6">
        <f>IFERROR(HLOOKUP($I511,Reference!$B$1:$E$2,2,FALSE),0)</f>
        <v>0.02</v>
      </c>
      <c r="M511" s="7">
        <f t="shared" si="0"/>
        <v>46035</v>
      </c>
      <c r="N511" s="3" t="str">
        <f t="shared" si="1"/>
        <v>Regular</v>
      </c>
    </row>
    <row r="512" customHeight="1" spans="1:14">
      <c r="A512" s="1" t="s">
        <v>565</v>
      </c>
      <c r="B512" s="1">
        <v>361</v>
      </c>
      <c r="C512" s="1">
        <v>10</v>
      </c>
      <c r="D512" s="3" t="str">
        <f>IFERROR(VLOOKUP($C512,merchants!$A$1:$D$41,2,FALSE),"Merchant not found")</f>
        <v>Merchant_010</v>
      </c>
      <c r="E512" s="3" t="str">
        <f>IFERROR(VLOOKUP($C512,merchants!$A$1:$D$41,3,FALSE),"Merchant not found")</f>
        <v>grocery</v>
      </c>
      <c r="F512" s="3" t="str">
        <f>IFERROR(VLOOKUP($C512,merchants!$A$1:$D$41,4,FALSE),"Merchant not found")</f>
        <v>West</v>
      </c>
      <c r="G512" s="5">
        <v>46042.2916666667</v>
      </c>
      <c r="H512" s="1">
        <v>4999</v>
      </c>
      <c r="I512" s="1" t="s">
        <v>64</v>
      </c>
      <c r="J512" s="1" t="s">
        <v>78</v>
      </c>
      <c r="K512" s="1">
        <v>95</v>
      </c>
      <c r="L512" s="6">
        <f>IFERROR(HLOOKUP($I512,Reference!$B$1:$E$2,2,FALSE),0)</f>
        <v>0.02</v>
      </c>
      <c r="M512" s="7">
        <f t="shared" si="0"/>
        <v>46042</v>
      </c>
      <c r="N512" s="3" t="str">
        <f t="shared" si="1"/>
        <v>Regular</v>
      </c>
    </row>
    <row r="513" customHeight="1" spans="1:14">
      <c r="A513" s="1" t="s">
        <v>566</v>
      </c>
      <c r="B513" s="1">
        <v>362</v>
      </c>
      <c r="C513" s="1">
        <v>39</v>
      </c>
      <c r="D513" s="3" t="str">
        <f>IFERROR(VLOOKUP($C513,merchants!$A$1:$D$41,2,FALSE),"Merchant not found")</f>
        <v>Merchant_039</v>
      </c>
      <c r="E513" s="3" t="str">
        <f>IFERROR(VLOOKUP($C513,merchants!$A$1:$D$41,3,FALSE),"Merchant not found")</f>
        <v>entertainment</v>
      </c>
      <c r="F513" s="3" t="str">
        <f>IFERROR(VLOOKUP($C513,merchants!$A$1:$D$41,4,FALSE),"Merchant not found")</f>
        <v>North</v>
      </c>
      <c r="G513" s="5">
        <v>46045.0833333333</v>
      </c>
      <c r="H513" s="1">
        <v>4999</v>
      </c>
      <c r="I513" s="1" t="s">
        <v>64</v>
      </c>
      <c r="J513" s="1" t="s">
        <v>78</v>
      </c>
      <c r="K513" s="1">
        <v>88</v>
      </c>
      <c r="L513" s="6">
        <f>IFERROR(HLOOKUP($I513,Reference!$B$1:$E$2,2,FALSE),0)</f>
        <v>0.02</v>
      </c>
      <c r="M513" s="7">
        <f t="shared" si="0"/>
        <v>46045</v>
      </c>
      <c r="N513" s="3" t="str">
        <f t="shared" si="1"/>
        <v>Regular</v>
      </c>
    </row>
    <row r="514" customHeight="1" spans="1:14">
      <c r="A514" s="1" t="s">
        <v>567</v>
      </c>
      <c r="B514" s="1">
        <v>363</v>
      </c>
      <c r="C514" s="1">
        <v>27</v>
      </c>
      <c r="D514" s="3" t="str">
        <f>IFERROR(VLOOKUP($C514,merchants!$A$1:$D$41,2,FALSE),"Merchant not found")</f>
        <v>Merchant_027</v>
      </c>
      <c r="E514" s="3" t="str">
        <f>IFERROR(VLOOKUP($C514,merchants!$A$1:$D$41,3,FALSE),"Merchant not found")</f>
        <v>ecommerce</v>
      </c>
      <c r="F514" s="3" t="str">
        <f>IFERROR(VLOOKUP($C514,merchants!$A$1:$D$41,4,FALSE),"Merchant not found")</f>
        <v>North</v>
      </c>
      <c r="G514" s="5">
        <v>46045.7083333333</v>
      </c>
      <c r="H514" s="1">
        <v>999</v>
      </c>
      <c r="I514" s="1" t="s">
        <v>64</v>
      </c>
      <c r="J514" s="1" t="s">
        <v>78</v>
      </c>
      <c r="K514" s="1">
        <v>95</v>
      </c>
      <c r="L514" s="6">
        <f>IFERROR(HLOOKUP($I514,Reference!$B$1:$E$2,2,FALSE),0)</f>
        <v>0.02</v>
      </c>
      <c r="M514" s="7">
        <f t="shared" si="0"/>
        <v>46045</v>
      </c>
      <c r="N514" s="3" t="str">
        <f t="shared" si="1"/>
        <v>Regular</v>
      </c>
    </row>
    <row r="515" customHeight="1" spans="1:14">
      <c r="A515" s="1" t="s">
        <v>568</v>
      </c>
      <c r="B515" s="1">
        <v>364</v>
      </c>
      <c r="C515" s="1">
        <v>39</v>
      </c>
      <c r="D515" s="3" t="str">
        <f>IFERROR(VLOOKUP($C515,merchants!$A$1:$D$41,2,FALSE),"Merchant not found")</f>
        <v>Merchant_039</v>
      </c>
      <c r="E515" s="3" t="str">
        <f>IFERROR(VLOOKUP($C515,merchants!$A$1:$D$41,3,FALSE),"Merchant not found")</f>
        <v>entertainment</v>
      </c>
      <c r="F515" s="3" t="str">
        <f>IFERROR(VLOOKUP($C515,merchants!$A$1:$D$41,4,FALSE),"Merchant not found")</f>
        <v>North</v>
      </c>
      <c r="G515" s="5">
        <v>46044.9166666667</v>
      </c>
      <c r="H515" s="1">
        <v>999</v>
      </c>
      <c r="I515" s="1" t="s">
        <v>64</v>
      </c>
      <c r="J515" s="1" t="s">
        <v>78</v>
      </c>
      <c r="K515" s="1">
        <v>73</v>
      </c>
      <c r="L515" s="6">
        <f>IFERROR(HLOOKUP($I515,Reference!$B$1:$E$2,2,FALSE),0)</f>
        <v>0.02</v>
      </c>
      <c r="M515" s="7">
        <f t="shared" si="0"/>
        <v>46044</v>
      </c>
      <c r="N515" s="3" t="str">
        <f t="shared" si="1"/>
        <v>High-Value Merchant Day</v>
      </c>
    </row>
    <row r="516" customHeight="1" spans="1:14">
      <c r="A516" s="1" t="s">
        <v>569</v>
      </c>
      <c r="B516" s="1">
        <v>365</v>
      </c>
      <c r="C516" s="1">
        <v>23</v>
      </c>
      <c r="D516" s="3" t="str">
        <f>IFERROR(VLOOKUP($C516,merchants!$A$1:$D$41,2,FALSE),"Merchant not found")</f>
        <v>Merchant_023</v>
      </c>
      <c r="E516" s="3" t="str">
        <f>IFERROR(VLOOKUP($C516,merchants!$A$1:$D$41,3,FALSE),"Merchant not found")</f>
        <v>travel</v>
      </c>
      <c r="F516" s="3" t="str">
        <f>IFERROR(VLOOKUP($C516,merchants!$A$1:$D$41,4,FALSE),"Merchant not found")</f>
        <v>North</v>
      </c>
      <c r="G516" s="5">
        <v>46040.875</v>
      </c>
      <c r="H516" s="1">
        <v>1999</v>
      </c>
      <c r="I516" s="1" t="s">
        <v>64</v>
      </c>
      <c r="J516" s="1" t="s">
        <v>78</v>
      </c>
      <c r="K516" s="1">
        <v>90</v>
      </c>
      <c r="L516" s="6">
        <f>IFERROR(HLOOKUP($I516,Reference!$B$1:$E$2,2,FALSE),0)</f>
        <v>0.02</v>
      </c>
      <c r="M516" s="7">
        <f t="shared" si="0"/>
        <v>46040</v>
      </c>
      <c r="N516" s="3" t="str">
        <f t="shared" si="1"/>
        <v>Regular</v>
      </c>
    </row>
    <row r="517" customHeight="1" spans="1:14">
      <c r="A517" s="1" t="s">
        <v>570</v>
      </c>
      <c r="B517" s="1">
        <v>314</v>
      </c>
      <c r="C517" s="1">
        <v>26</v>
      </c>
      <c r="D517" s="3" t="str">
        <f>IFERROR(VLOOKUP($C517,merchants!$A$1:$D$41,2,FALSE),"Merchant not found")</f>
        <v>Merchant_026</v>
      </c>
      <c r="E517" s="3" t="str">
        <f>IFERROR(VLOOKUP($C517,merchants!$A$1:$D$41,3,FALSE),"Merchant not found")</f>
        <v>food_delivery</v>
      </c>
      <c r="F517" s="3" t="str">
        <f>IFERROR(VLOOKUP($C517,merchants!$A$1:$D$41,4,FALSE),"Merchant not found")</f>
        <v>East</v>
      </c>
      <c r="G517" s="5">
        <v>46024.75</v>
      </c>
      <c r="H517" s="1">
        <v>399</v>
      </c>
      <c r="I517" s="1" t="s">
        <v>64</v>
      </c>
      <c r="J517" s="1" t="s">
        <v>65</v>
      </c>
      <c r="K517" s="1">
        <v>87</v>
      </c>
      <c r="L517" s="6">
        <f>IFERROR(HLOOKUP($I517,Reference!$B$1:$E$2,2,FALSE),0)</f>
        <v>0.02</v>
      </c>
      <c r="M517" s="7">
        <f t="shared" si="0"/>
        <v>46024</v>
      </c>
      <c r="N517" s="3" t="str">
        <f t="shared" si="1"/>
        <v>Regular</v>
      </c>
    </row>
    <row r="518" customHeight="1" spans="1:14">
      <c r="A518" s="1" t="s">
        <v>571</v>
      </c>
      <c r="B518" s="1">
        <v>314</v>
      </c>
      <c r="C518" s="1">
        <v>7</v>
      </c>
      <c r="D518" s="3" t="str">
        <f>IFERROR(VLOOKUP($C518,merchants!$A$1:$D$41,2,FALSE),"Merchant not found")</f>
        <v>Merchant_007</v>
      </c>
      <c r="E518" s="3" t="str">
        <f>IFERROR(VLOOKUP($C518,merchants!$A$1:$D$41,3,FALSE),"Merchant not found")</f>
        <v>food_delivery</v>
      </c>
      <c r="F518" s="3" t="str">
        <f>IFERROR(VLOOKUP($C518,merchants!$A$1:$D$41,4,FALSE),"Merchant not found")</f>
        <v>East</v>
      </c>
      <c r="G518" s="5">
        <v>46024.7506944444</v>
      </c>
      <c r="H518" s="1">
        <v>299</v>
      </c>
      <c r="I518" s="1" t="s">
        <v>64</v>
      </c>
      <c r="J518" s="1" t="s">
        <v>65</v>
      </c>
      <c r="K518" s="1">
        <v>66</v>
      </c>
      <c r="L518" s="6">
        <f>IFERROR(HLOOKUP($I518,Reference!$B$1:$E$2,2,FALSE),0)</f>
        <v>0.02</v>
      </c>
      <c r="M518" s="7">
        <f t="shared" si="0"/>
        <v>46024</v>
      </c>
      <c r="N518" s="3" t="str">
        <f t="shared" si="1"/>
        <v>Regular</v>
      </c>
    </row>
    <row r="519" customHeight="1" spans="1:14">
      <c r="A519" s="1" t="s">
        <v>572</v>
      </c>
      <c r="B519" s="1">
        <v>314</v>
      </c>
      <c r="C519" s="1">
        <v>17</v>
      </c>
      <c r="D519" s="3" t="str">
        <f>IFERROR(VLOOKUP($C519,merchants!$A$1:$D$41,2,FALSE),"Merchant not found")</f>
        <v>Merchant_017</v>
      </c>
      <c r="E519" s="3" t="str">
        <f>IFERROR(VLOOKUP($C519,merchants!$A$1:$D$41,3,FALSE),"Merchant not found")</f>
        <v>grocery</v>
      </c>
      <c r="F519" s="3" t="str">
        <f>IFERROR(VLOOKUP($C519,merchants!$A$1:$D$41,4,FALSE),"Merchant not found")</f>
        <v>North</v>
      </c>
      <c r="G519" s="5">
        <v>46024.7513888889</v>
      </c>
      <c r="H519" s="1">
        <v>299</v>
      </c>
      <c r="I519" s="1" t="s">
        <v>64</v>
      </c>
      <c r="J519" s="1" t="s">
        <v>65</v>
      </c>
      <c r="K519" s="1">
        <v>92</v>
      </c>
      <c r="L519" s="6">
        <f>IFERROR(HLOOKUP($I519,Reference!$B$1:$E$2,2,FALSE),0)</f>
        <v>0.02</v>
      </c>
      <c r="M519" s="7">
        <f t="shared" si="0"/>
        <v>46024</v>
      </c>
      <c r="N519" s="3" t="str">
        <f t="shared" si="1"/>
        <v>Regular</v>
      </c>
    </row>
    <row r="520" customHeight="1" spans="1:14">
      <c r="A520" s="1" t="s">
        <v>573</v>
      </c>
      <c r="B520" s="1">
        <v>314</v>
      </c>
      <c r="C520" s="1">
        <v>34</v>
      </c>
      <c r="D520" s="3" t="str">
        <f>IFERROR(VLOOKUP($C520,merchants!$A$1:$D$41,2,FALSE),"Merchant not found")</f>
        <v>Merchant_034</v>
      </c>
      <c r="E520" s="3" t="str">
        <f>IFERROR(VLOOKUP($C520,merchants!$A$1:$D$41,3,FALSE),"Merchant not found")</f>
        <v>travel</v>
      </c>
      <c r="F520" s="3" t="str">
        <f>IFERROR(VLOOKUP($C520,merchants!$A$1:$D$41,4,FALSE),"Merchant not found")</f>
        <v>South</v>
      </c>
      <c r="G520" s="5">
        <v>46024.7520833333</v>
      </c>
      <c r="H520" s="1">
        <v>499</v>
      </c>
      <c r="I520" s="1" t="s">
        <v>64</v>
      </c>
      <c r="J520" s="1" t="s">
        <v>50</v>
      </c>
      <c r="K520" s="1">
        <v>74</v>
      </c>
      <c r="L520" s="6">
        <f>IFERROR(HLOOKUP($I520,Reference!$B$1:$E$2,2,FALSE),0)</f>
        <v>0.02</v>
      </c>
      <c r="M520" s="7">
        <f t="shared" si="0"/>
        <v>46024</v>
      </c>
      <c r="N520" s="3" t="str">
        <f t="shared" si="1"/>
        <v>Regular</v>
      </c>
    </row>
    <row r="521" customHeight="1" spans="1:14">
      <c r="A521" s="1" t="s">
        <v>574</v>
      </c>
      <c r="B521" s="1">
        <v>229</v>
      </c>
      <c r="C521" s="1">
        <v>30</v>
      </c>
      <c r="D521" s="3" t="str">
        <f>IFERROR(VLOOKUP($C521,merchants!$A$1:$D$41,2,FALSE),"Merchant not found")</f>
        <v>Merchant_030</v>
      </c>
      <c r="E521" s="3" t="str">
        <f>IFERROR(VLOOKUP($C521,merchants!$A$1:$D$41,3,FALSE),"Merchant not found")</f>
        <v>travel</v>
      </c>
      <c r="F521" s="3" t="str">
        <f>IFERROR(VLOOKUP($C521,merchants!$A$1:$D$41,4,FALSE),"Merchant not found")</f>
        <v>West</v>
      </c>
      <c r="G521" s="5">
        <v>46034.5</v>
      </c>
      <c r="H521" s="1">
        <v>499</v>
      </c>
      <c r="I521" s="1" t="s">
        <v>64</v>
      </c>
      <c r="J521" s="1" t="s">
        <v>65</v>
      </c>
      <c r="K521" s="1">
        <v>92</v>
      </c>
      <c r="L521" s="6">
        <f>IFERROR(HLOOKUP($I521,Reference!$B$1:$E$2,2,FALSE),0)</f>
        <v>0.02</v>
      </c>
      <c r="M521" s="7">
        <f t="shared" si="0"/>
        <v>46034</v>
      </c>
      <c r="N521" s="3" t="str">
        <f t="shared" si="1"/>
        <v>Regular</v>
      </c>
    </row>
    <row r="522" customHeight="1" spans="1:14">
      <c r="A522" s="1" t="s">
        <v>575</v>
      </c>
      <c r="B522" s="1">
        <v>229</v>
      </c>
      <c r="C522" s="1">
        <v>10</v>
      </c>
      <c r="D522" s="3" t="str">
        <f>IFERROR(VLOOKUP($C522,merchants!$A$1:$D$41,2,FALSE),"Merchant not found")</f>
        <v>Merchant_010</v>
      </c>
      <c r="E522" s="3" t="str">
        <f>IFERROR(VLOOKUP($C522,merchants!$A$1:$D$41,3,FALSE),"Merchant not found")</f>
        <v>grocery</v>
      </c>
      <c r="F522" s="3" t="str">
        <f>IFERROR(VLOOKUP($C522,merchants!$A$1:$D$41,4,FALSE),"Merchant not found")</f>
        <v>West</v>
      </c>
      <c r="G522" s="5">
        <v>46034.5006944444</v>
      </c>
      <c r="H522" s="1">
        <v>399</v>
      </c>
      <c r="I522" s="1" t="s">
        <v>64</v>
      </c>
      <c r="J522" s="1" t="s">
        <v>65</v>
      </c>
      <c r="K522" s="1">
        <v>61</v>
      </c>
      <c r="L522" s="6">
        <f>IFERROR(HLOOKUP($I522,Reference!$B$1:$E$2,2,FALSE),0)</f>
        <v>0.02</v>
      </c>
      <c r="M522" s="7">
        <f t="shared" si="0"/>
        <v>46034</v>
      </c>
      <c r="N522" s="3" t="str">
        <f t="shared" si="1"/>
        <v>Regular</v>
      </c>
    </row>
    <row r="523" customHeight="1" spans="1:14">
      <c r="A523" s="1" t="s">
        <v>576</v>
      </c>
      <c r="B523" s="1">
        <v>229</v>
      </c>
      <c r="C523" s="1">
        <v>31</v>
      </c>
      <c r="D523" s="3" t="str">
        <f>IFERROR(VLOOKUP($C523,merchants!$A$1:$D$41,2,FALSE),"Merchant not found")</f>
        <v>Merchant_031</v>
      </c>
      <c r="E523" s="3" t="str">
        <f>IFERROR(VLOOKUP($C523,merchants!$A$1:$D$41,3,FALSE),"Merchant not found")</f>
        <v>bill_payment</v>
      </c>
      <c r="F523" s="3" t="str">
        <f>IFERROR(VLOOKUP($C523,merchants!$A$1:$D$41,4,FALSE),"Merchant not found")</f>
        <v>East</v>
      </c>
      <c r="G523" s="5">
        <v>46034.5013888889</v>
      </c>
      <c r="H523" s="1">
        <v>299</v>
      </c>
      <c r="I523" s="1" t="s">
        <v>64</v>
      </c>
      <c r="J523" s="1" t="s">
        <v>65</v>
      </c>
      <c r="K523" s="1">
        <v>78</v>
      </c>
      <c r="L523" s="6">
        <f>IFERROR(HLOOKUP($I523,Reference!$B$1:$E$2,2,FALSE),0)</f>
        <v>0.02</v>
      </c>
      <c r="M523" s="7">
        <f t="shared" si="0"/>
        <v>46034</v>
      </c>
      <c r="N523" s="3" t="str">
        <f t="shared" si="1"/>
        <v>Regular</v>
      </c>
    </row>
    <row r="524" customHeight="1" spans="1:14">
      <c r="A524" s="1" t="s">
        <v>577</v>
      </c>
      <c r="B524" s="1">
        <v>229</v>
      </c>
      <c r="C524" s="1">
        <v>27</v>
      </c>
      <c r="D524" s="3" t="str">
        <f>IFERROR(VLOOKUP($C524,merchants!$A$1:$D$41,2,FALSE),"Merchant not found")</f>
        <v>Merchant_027</v>
      </c>
      <c r="E524" s="3" t="str">
        <f>IFERROR(VLOOKUP($C524,merchants!$A$1:$D$41,3,FALSE),"Merchant not found")</f>
        <v>ecommerce</v>
      </c>
      <c r="F524" s="3" t="str">
        <f>IFERROR(VLOOKUP($C524,merchants!$A$1:$D$41,4,FALSE),"Merchant not found")</f>
        <v>North</v>
      </c>
      <c r="G524" s="5">
        <v>46034.5020833333</v>
      </c>
      <c r="H524" s="1">
        <v>299</v>
      </c>
      <c r="I524" s="1" t="s">
        <v>64</v>
      </c>
      <c r="J524" s="1" t="s">
        <v>50</v>
      </c>
      <c r="K524" s="1">
        <v>67</v>
      </c>
      <c r="L524" s="6">
        <f>IFERROR(HLOOKUP($I524,Reference!$B$1:$E$2,2,FALSE),0)</f>
        <v>0.02</v>
      </c>
      <c r="M524" s="7">
        <f t="shared" si="0"/>
        <v>46034</v>
      </c>
      <c r="N524" s="3" t="str">
        <f t="shared" si="1"/>
        <v>Regular</v>
      </c>
    </row>
    <row r="525" customHeight="1" spans="1:14">
      <c r="A525" s="1" t="s">
        <v>578</v>
      </c>
      <c r="B525" s="1">
        <v>73</v>
      </c>
      <c r="C525" s="1">
        <v>22</v>
      </c>
      <c r="D525" s="3" t="str">
        <f>IFERROR(VLOOKUP($C525,merchants!$A$1:$D$41,2,FALSE),"Merchant not found")</f>
        <v>Merchant_022</v>
      </c>
      <c r="E525" s="3" t="str">
        <f>IFERROR(VLOOKUP($C525,merchants!$A$1:$D$41,3,FALSE),"Merchant not found")</f>
        <v>travel</v>
      </c>
      <c r="F525" s="3" t="str">
        <f>IFERROR(VLOOKUP($C525,merchants!$A$1:$D$41,4,FALSE),"Merchant not found")</f>
        <v>South</v>
      </c>
      <c r="G525" s="5">
        <v>46034.375</v>
      </c>
      <c r="H525" s="1">
        <v>399</v>
      </c>
      <c r="I525" s="1" t="s">
        <v>64</v>
      </c>
      <c r="J525" s="1" t="s">
        <v>65</v>
      </c>
      <c r="K525" s="1">
        <v>73</v>
      </c>
      <c r="L525" s="6">
        <f>IFERROR(HLOOKUP($I525,Reference!$B$1:$E$2,2,FALSE),0)</f>
        <v>0.02</v>
      </c>
      <c r="M525" s="7">
        <f t="shared" si="0"/>
        <v>46034</v>
      </c>
      <c r="N525" s="3" t="str">
        <f t="shared" si="1"/>
        <v>Regular</v>
      </c>
    </row>
    <row r="526" customHeight="1" spans="1:14">
      <c r="A526" s="1" t="s">
        <v>579</v>
      </c>
      <c r="B526" s="1">
        <v>73</v>
      </c>
      <c r="C526" s="1">
        <v>34</v>
      </c>
      <c r="D526" s="3" t="str">
        <f>IFERROR(VLOOKUP($C526,merchants!$A$1:$D$41,2,FALSE),"Merchant not found")</f>
        <v>Merchant_034</v>
      </c>
      <c r="E526" s="3" t="str">
        <f>IFERROR(VLOOKUP($C526,merchants!$A$1:$D$41,3,FALSE),"Merchant not found")</f>
        <v>travel</v>
      </c>
      <c r="F526" s="3" t="str">
        <f>IFERROR(VLOOKUP($C526,merchants!$A$1:$D$41,4,FALSE),"Merchant not found")</f>
        <v>South</v>
      </c>
      <c r="G526" s="5">
        <v>46034.3756944444</v>
      </c>
      <c r="H526" s="1">
        <v>399</v>
      </c>
      <c r="I526" s="1" t="s">
        <v>64</v>
      </c>
      <c r="J526" s="1" t="s">
        <v>65</v>
      </c>
      <c r="K526" s="1">
        <v>82</v>
      </c>
      <c r="L526" s="6">
        <f>IFERROR(HLOOKUP($I526,Reference!$B$1:$E$2,2,FALSE),0)</f>
        <v>0.02</v>
      </c>
      <c r="M526" s="7">
        <f t="shared" si="0"/>
        <v>46034</v>
      </c>
      <c r="N526" s="3" t="str">
        <f t="shared" si="1"/>
        <v>Regular</v>
      </c>
    </row>
    <row r="527" customHeight="1" spans="1:14">
      <c r="A527" s="1" t="s">
        <v>580</v>
      </c>
      <c r="B527" s="1">
        <v>73</v>
      </c>
      <c r="C527" s="1">
        <v>31</v>
      </c>
      <c r="D527" s="3" t="str">
        <f>IFERROR(VLOOKUP($C527,merchants!$A$1:$D$41,2,FALSE),"Merchant not found")</f>
        <v>Merchant_031</v>
      </c>
      <c r="E527" s="3" t="str">
        <f>IFERROR(VLOOKUP($C527,merchants!$A$1:$D$41,3,FALSE),"Merchant not found")</f>
        <v>bill_payment</v>
      </c>
      <c r="F527" s="3" t="str">
        <f>IFERROR(VLOOKUP($C527,merchants!$A$1:$D$41,4,FALSE),"Merchant not found")</f>
        <v>East</v>
      </c>
      <c r="G527" s="5">
        <v>46034.3763888889</v>
      </c>
      <c r="H527" s="1">
        <v>299</v>
      </c>
      <c r="I527" s="1" t="s">
        <v>64</v>
      </c>
      <c r="J527" s="1" t="s">
        <v>65</v>
      </c>
      <c r="K527" s="1">
        <v>88</v>
      </c>
      <c r="L527" s="6">
        <f>IFERROR(HLOOKUP($I527,Reference!$B$1:$E$2,2,FALSE),0)</f>
        <v>0.02</v>
      </c>
      <c r="M527" s="7">
        <f t="shared" si="0"/>
        <v>46034</v>
      </c>
      <c r="N527" s="3" t="str">
        <f t="shared" si="1"/>
        <v>Regular</v>
      </c>
    </row>
    <row r="528" customHeight="1" spans="1:14">
      <c r="A528" s="1" t="s">
        <v>581</v>
      </c>
      <c r="B528" s="1">
        <v>73</v>
      </c>
      <c r="C528" s="1">
        <v>29</v>
      </c>
      <c r="D528" s="3" t="str">
        <f>IFERROR(VLOOKUP($C528,merchants!$A$1:$D$41,2,FALSE),"Merchant not found")</f>
        <v>Merchant_029</v>
      </c>
      <c r="E528" s="3" t="str">
        <f>IFERROR(VLOOKUP($C528,merchants!$A$1:$D$41,3,FALSE),"Merchant not found")</f>
        <v>ecommerce</v>
      </c>
      <c r="F528" s="3" t="str">
        <f>IFERROR(VLOOKUP($C528,merchants!$A$1:$D$41,4,FALSE),"Merchant not found")</f>
        <v>North</v>
      </c>
      <c r="G528" s="5">
        <v>46034.3770833333</v>
      </c>
      <c r="H528" s="1">
        <v>399</v>
      </c>
      <c r="I528" s="1" t="s">
        <v>64</v>
      </c>
      <c r="J528" s="1" t="s">
        <v>50</v>
      </c>
      <c r="K528" s="1">
        <v>64</v>
      </c>
      <c r="L528" s="6">
        <f>IFERROR(HLOOKUP($I528,Reference!$B$1:$E$2,2,FALSE),0)</f>
        <v>0.02</v>
      </c>
      <c r="M528" s="7">
        <f t="shared" si="0"/>
        <v>46034</v>
      </c>
      <c r="N528" s="3" t="str">
        <f t="shared" si="1"/>
        <v>Regular</v>
      </c>
    </row>
    <row r="529" customHeight="1" spans="1:14">
      <c r="A529" s="1" t="s">
        <v>582</v>
      </c>
      <c r="B529" s="1">
        <v>154</v>
      </c>
      <c r="C529" s="1">
        <v>8</v>
      </c>
      <c r="D529" s="3" t="str">
        <f>IFERROR(VLOOKUP($C529,merchants!$A$1:$D$41,2,FALSE),"Merchant not found")</f>
        <v>Merchant_008</v>
      </c>
      <c r="E529" s="3" t="str">
        <f>IFERROR(VLOOKUP($C529,merchants!$A$1:$D$41,3,FALSE),"Merchant not found")</f>
        <v>food_delivery</v>
      </c>
      <c r="F529" s="3" t="str">
        <f>IFERROR(VLOOKUP($C529,merchants!$A$1:$D$41,4,FALSE),"Merchant not found")</f>
        <v>North</v>
      </c>
      <c r="G529" s="5">
        <v>46024.9166666667</v>
      </c>
      <c r="H529" s="1">
        <v>299</v>
      </c>
      <c r="I529" s="1" t="s">
        <v>64</v>
      </c>
      <c r="J529" s="1" t="s">
        <v>65</v>
      </c>
      <c r="K529" s="1">
        <v>81</v>
      </c>
      <c r="L529" s="6">
        <f>IFERROR(HLOOKUP($I529,Reference!$B$1:$E$2,2,FALSE),0)</f>
        <v>0.02</v>
      </c>
      <c r="M529" s="7">
        <f t="shared" si="0"/>
        <v>46024</v>
      </c>
      <c r="N529" s="3" t="str">
        <f t="shared" si="1"/>
        <v>Regular</v>
      </c>
    </row>
    <row r="530" customHeight="1" spans="1:14">
      <c r="A530" s="1" t="s">
        <v>583</v>
      </c>
      <c r="B530" s="1">
        <v>154</v>
      </c>
      <c r="C530" s="1">
        <v>7</v>
      </c>
      <c r="D530" s="3" t="str">
        <f>IFERROR(VLOOKUP($C530,merchants!$A$1:$D$41,2,FALSE),"Merchant not found")</f>
        <v>Merchant_007</v>
      </c>
      <c r="E530" s="3" t="str">
        <f>IFERROR(VLOOKUP($C530,merchants!$A$1:$D$41,3,FALSE),"Merchant not found")</f>
        <v>food_delivery</v>
      </c>
      <c r="F530" s="3" t="str">
        <f>IFERROR(VLOOKUP($C530,merchants!$A$1:$D$41,4,FALSE),"Merchant not found")</f>
        <v>East</v>
      </c>
      <c r="G530" s="5">
        <v>46024.9173611111</v>
      </c>
      <c r="H530" s="1">
        <v>499</v>
      </c>
      <c r="I530" s="1" t="s">
        <v>64</v>
      </c>
      <c r="J530" s="1" t="s">
        <v>65</v>
      </c>
      <c r="K530" s="1">
        <v>70</v>
      </c>
      <c r="L530" s="6">
        <f>IFERROR(HLOOKUP($I530,Reference!$B$1:$E$2,2,FALSE),0)</f>
        <v>0.02</v>
      </c>
      <c r="M530" s="7">
        <f t="shared" si="0"/>
        <v>46024</v>
      </c>
      <c r="N530" s="3" t="str">
        <f t="shared" si="1"/>
        <v>Regular</v>
      </c>
    </row>
    <row r="531" customHeight="1" spans="1:14">
      <c r="A531" s="1" t="s">
        <v>584</v>
      </c>
      <c r="B531" s="1">
        <v>154</v>
      </c>
      <c r="C531" s="1">
        <v>16</v>
      </c>
      <c r="D531" s="3" t="str">
        <f>IFERROR(VLOOKUP($C531,merchants!$A$1:$D$41,2,FALSE),"Merchant not found")</f>
        <v>Merchant_016</v>
      </c>
      <c r="E531" s="3" t="str">
        <f>IFERROR(VLOOKUP($C531,merchants!$A$1:$D$41,3,FALSE),"Merchant not found")</f>
        <v>bill_payment</v>
      </c>
      <c r="F531" s="3" t="str">
        <f>IFERROR(VLOOKUP($C531,merchants!$A$1:$D$41,4,FALSE),"Merchant not found")</f>
        <v>West</v>
      </c>
      <c r="G531" s="5">
        <v>46024.9180555556</v>
      </c>
      <c r="H531" s="1">
        <v>499</v>
      </c>
      <c r="I531" s="1" t="s">
        <v>64</v>
      </c>
      <c r="J531" s="1" t="s">
        <v>65</v>
      </c>
      <c r="K531" s="1">
        <v>71</v>
      </c>
      <c r="L531" s="6">
        <f>IFERROR(HLOOKUP($I531,Reference!$B$1:$E$2,2,FALSE),0)</f>
        <v>0.02</v>
      </c>
      <c r="M531" s="7">
        <f t="shared" si="0"/>
        <v>46024</v>
      </c>
      <c r="N531" s="3" t="str">
        <f t="shared" si="1"/>
        <v>Regular</v>
      </c>
    </row>
    <row r="532" customHeight="1" spans="1:14">
      <c r="A532" s="1" t="s">
        <v>585</v>
      </c>
      <c r="B532" s="1">
        <v>154</v>
      </c>
      <c r="C532" s="1">
        <v>36</v>
      </c>
      <c r="D532" s="3" t="str">
        <f>IFERROR(VLOOKUP($C532,merchants!$A$1:$D$41,2,FALSE),"Merchant not found")</f>
        <v>Merchant_036</v>
      </c>
      <c r="E532" s="3" t="str">
        <f>IFERROR(VLOOKUP($C532,merchants!$A$1:$D$41,3,FALSE),"Merchant not found")</f>
        <v>entertainment</v>
      </c>
      <c r="F532" s="3" t="str">
        <f>IFERROR(VLOOKUP($C532,merchants!$A$1:$D$41,4,FALSE),"Merchant not found")</f>
        <v>East</v>
      </c>
      <c r="G532" s="5">
        <v>46024.91875</v>
      </c>
      <c r="H532" s="1">
        <v>299</v>
      </c>
      <c r="I532" s="1" t="s">
        <v>64</v>
      </c>
      <c r="J532" s="1" t="s">
        <v>50</v>
      </c>
      <c r="K532" s="1">
        <v>81</v>
      </c>
      <c r="L532" s="6">
        <f>IFERROR(HLOOKUP($I532,Reference!$B$1:$E$2,2,FALSE),0)</f>
        <v>0.02</v>
      </c>
      <c r="M532" s="7">
        <f t="shared" si="0"/>
        <v>46024</v>
      </c>
      <c r="N532" s="3" t="str">
        <f t="shared" si="1"/>
        <v>Regular</v>
      </c>
    </row>
    <row r="533" customHeight="1" spans="1:14">
      <c r="A533" s="1" t="s">
        <v>586</v>
      </c>
      <c r="B533" s="1">
        <v>287</v>
      </c>
      <c r="C533" s="1">
        <v>15</v>
      </c>
      <c r="D533" s="3" t="str">
        <f>IFERROR(VLOOKUP($C533,merchants!$A$1:$D$41,2,FALSE),"Merchant not found")</f>
        <v>Merchant_015</v>
      </c>
      <c r="E533" s="3" t="str">
        <f>IFERROR(VLOOKUP($C533,merchants!$A$1:$D$41,3,FALSE),"Merchant not found")</f>
        <v>travel</v>
      </c>
      <c r="F533" s="3" t="str">
        <f>IFERROR(VLOOKUP($C533,merchants!$A$1:$D$41,4,FALSE),"Merchant not found")</f>
        <v>North</v>
      </c>
      <c r="G533" s="5">
        <v>46036.5833333333</v>
      </c>
      <c r="H533" s="1">
        <v>399</v>
      </c>
      <c r="I533" s="1" t="s">
        <v>64</v>
      </c>
      <c r="J533" s="1" t="s">
        <v>65</v>
      </c>
      <c r="K533" s="1">
        <v>71</v>
      </c>
      <c r="L533" s="6">
        <f>IFERROR(HLOOKUP($I533,Reference!$B$1:$E$2,2,FALSE),0)</f>
        <v>0.02</v>
      </c>
      <c r="M533" s="7">
        <f t="shared" si="0"/>
        <v>46036</v>
      </c>
      <c r="N533" s="3" t="str">
        <f t="shared" si="1"/>
        <v>Regular</v>
      </c>
    </row>
    <row r="534" customHeight="1" spans="1:14">
      <c r="A534" s="1" t="s">
        <v>587</v>
      </c>
      <c r="B534" s="1">
        <v>287</v>
      </c>
      <c r="C534" s="1">
        <v>12</v>
      </c>
      <c r="D534" s="3" t="str">
        <f>IFERROR(VLOOKUP($C534,merchants!$A$1:$D$41,2,FALSE),"Merchant not found")</f>
        <v>Merchant_012</v>
      </c>
      <c r="E534" s="3" t="str">
        <f>IFERROR(VLOOKUP($C534,merchants!$A$1:$D$41,3,FALSE),"Merchant not found")</f>
        <v>ecommerce</v>
      </c>
      <c r="F534" s="3" t="str">
        <f>IFERROR(VLOOKUP($C534,merchants!$A$1:$D$41,4,FALSE),"Merchant not found")</f>
        <v>East</v>
      </c>
      <c r="G534" s="5">
        <v>46036.5840277778</v>
      </c>
      <c r="H534" s="1">
        <v>499</v>
      </c>
      <c r="I534" s="1" t="s">
        <v>64</v>
      </c>
      <c r="J534" s="1" t="s">
        <v>65</v>
      </c>
      <c r="K534" s="1">
        <v>87</v>
      </c>
      <c r="L534" s="6">
        <f>IFERROR(HLOOKUP($I534,Reference!$B$1:$E$2,2,FALSE),0)</f>
        <v>0.02</v>
      </c>
      <c r="M534" s="7">
        <f t="shared" si="0"/>
        <v>46036</v>
      </c>
      <c r="N534" s="3" t="str">
        <f t="shared" si="1"/>
        <v>Regular</v>
      </c>
    </row>
    <row r="535" customHeight="1" spans="1:14">
      <c r="A535" s="1" t="s">
        <v>588</v>
      </c>
      <c r="B535" s="1">
        <v>287</v>
      </c>
      <c r="C535" s="1">
        <v>26</v>
      </c>
      <c r="D535" s="3" t="str">
        <f>IFERROR(VLOOKUP($C535,merchants!$A$1:$D$41,2,FALSE),"Merchant not found")</f>
        <v>Merchant_026</v>
      </c>
      <c r="E535" s="3" t="str">
        <f>IFERROR(VLOOKUP($C535,merchants!$A$1:$D$41,3,FALSE),"Merchant not found")</f>
        <v>food_delivery</v>
      </c>
      <c r="F535" s="3" t="str">
        <f>IFERROR(VLOOKUP($C535,merchants!$A$1:$D$41,4,FALSE),"Merchant not found")</f>
        <v>East</v>
      </c>
      <c r="G535" s="5">
        <v>46036.5847222222</v>
      </c>
      <c r="H535" s="1">
        <v>299</v>
      </c>
      <c r="I535" s="1" t="s">
        <v>64</v>
      </c>
      <c r="J535" s="1" t="s">
        <v>65</v>
      </c>
      <c r="K535" s="1">
        <v>72</v>
      </c>
      <c r="L535" s="6">
        <f>IFERROR(HLOOKUP($I535,Reference!$B$1:$E$2,2,FALSE),0)</f>
        <v>0.02</v>
      </c>
      <c r="M535" s="7">
        <f t="shared" si="0"/>
        <v>46036</v>
      </c>
      <c r="N535" s="3" t="str">
        <f t="shared" si="1"/>
        <v>Regular</v>
      </c>
    </row>
    <row r="536" customHeight="1" spans="1:14">
      <c r="A536" s="1" t="s">
        <v>589</v>
      </c>
      <c r="B536" s="1">
        <v>287</v>
      </c>
      <c r="C536" s="1">
        <v>29</v>
      </c>
      <c r="D536" s="3" t="str">
        <f>IFERROR(VLOOKUP($C536,merchants!$A$1:$D$41,2,FALSE),"Merchant not found")</f>
        <v>Merchant_029</v>
      </c>
      <c r="E536" s="3" t="str">
        <f>IFERROR(VLOOKUP($C536,merchants!$A$1:$D$41,3,FALSE),"Merchant not found")</f>
        <v>ecommerce</v>
      </c>
      <c r="F536" s="3" t="str">
        <f>IFERROR(VLOOKUP($C536,merchants!$A$1:$D$41,4,FALSE),"Merchant not found")</f>
        <v>North</v>
      </c>
      <c r="G536" s="5">
        <v>46036.5854166667</v>
      </c>
      <c r="H536" s="1">
        <v>499</v>
      </c>
      <c r="I536" s="1" t="s">
        <v>64</v>
      </c>
      <c r="J536" s="1" t="s">
        <v>50</v>
      </c>
      <c r="K536" s="1">
        <v>87</v>
      </c>
      <c r="L536" s="6">
        <f>IFERROR(HLOOKUP($I536,Reference!$B$1:$E$2,2,FALSE),0)</f>
        <v>0.02</v>
      </c>
      <c r="M536" s="7">
        <f t="shared" si="0"/>
        <v>46036</v>
      </c>
      <c r="N536" s="3" t="str">
        <f t="shared" si="1"/>
        <v>Regular</v>
      </c>
    </row>
    <row r="537" customHeight="1" spans="1:14">
      <c r="A537" s="1" t="s">
        <v>590</v>
      </c>
      <c r="B537" s="1">
        <v>200</v>
      </c>
      <c r="C537" s="1">
        <v>14</v>
      </c>
      <c r="D537" s="3" t="str">
        <f>IFERROR(VLOOKUP($C537,merchants!$A$1:$D$41,2,FALSE),"Merchant not found")</f>
        <v>Merchant_014</v>
      </c>
      <c r="E537" s="3" t="str">
        <f>IFERROR(VLOOKUP($C537,merchants!$A$1:$D$41,3,FALSE),"Merchant not found")</f>
        <v>grocery</v>
      </c>
      <c r="F537" s="3" t="str">
        <f>IFERROR(VLOOKUP($C537,merchants!$A$1:$D$41,4,FALSE),"Merchant not found")</f>
        <v>East</v>
      </c>
      <c r="G537" s="5">
        <v>46023.9166666667</v>
      </c>
      <c r="H537" s="1">
        <v>299</v>
      </c>
      <c r="I537" s="1" t="s">
        <v>64</v>
      </c>
      <c r="J537" s="1" t="s">
        <v>65</v>
      </c>
      <c r="K537" s="1">
        <v>77</v>
      </c>
      <c r="L537" s="6">
        <f>IFERROR(HLOOKUP($I537,Reference!$B$1:$E$2,2,FALSE),0)</f>
        <v>0.02</v>
      </c>
      <c r="M537" s="7">
        <f t="shared" si="0"/>
        <v>46023</v>
      </c>
      <c r="N537" s="3" t="str">
        <f t="shared" si="1"/>
        <v>Regular</v>
      </c>
    </row>
    <row r="538" customHeight="1" spans="1:14">
      <c r="A538" s="1" t="s">
        <v>591</v>
      </c>
      <c r="B538" s="1">
        <v>200</v>
      </c>
      <c r="C538" s="1">
        <v>5</v>
      </c>
      <c r="D538" s="3" t="str">
        <f>IFERROR(VLOOKUP($C538,merchants!$A$1:$D$41,2,FALSE),"Merchant not found")</f>
        <v>Merchant_005</v>
      </c>
      <c r="E538" s="3" t="str">
        <f>IFERROR(VLOOKUP($C538,merchants!$A$1:$D$41,3,FALSE),"Merchant not found")</f>
        <v>recharge</v>
      </c>
      <c r="F538" s="3" t="str">
        <f>IFERROR(VLOOKUP($C538,merchants!$A$1:$D$41,4,FALSE),"Merchant not found")</f>
        <v>South</v>
      </c>
      <c r="G538" s="5">
        <v>46023.9173611111</v>
      </c>
      <c r="H538" s="1">
        <v>499</v>
      </c>
      <c r="I538" s="1" t="s">
        <v>64</v>
      </c>
      <c r="J538" s="1" t="s">
        <v>65</v>
      </c>
      <c r="K538" s="1">
        <v>66</v>
      </c>
      <c r="L538" s="6">
        <f>IFERROR(HLOOKUP($I538,Reference!$B$1:$E$2,2,FALSE),0)</f>
        <v>0.02</v>
      </c>
      <c r="M538" s="7">
        <f t="shared" si="0"/>
        <v>46023</v>
      </c>
      <c r="N538" s="3" t="str">
        <f t="shared" si="1"/>
        <v>Regular</v>
      </c>
    </row>
    <row r="539" customHeight="1" spans="1:14">
      <c r="A539" s="1" t="s">
        <v>592</v>
      </c>
      <c r="B539" s="1">
        <v>200</v>
      </c>
      <c r="C539" s="1">
        <v>35</v>
      </c>
      <c r="D539" s="3" t="str">
        <f>IFERROR(VLOOKUP($C539,merchants!$A$1:$D$41,2,FALSE),"Merchant not found")</f>
        <v>Merchant_035</v>
      </c>
      <c r="E539" s="3" t="str">
        <f>IFERROR(VLOOKUP($C539,merchants!$A$1:$D$41,3,FALSE),"Merchant not found")</f>
        <v>recharge</v>
      </c>
      <c r="F539" s="3" t="str">
        <f>IFERROR(VLOOKUP($C539,merchants!$A$1:$D$41,4,FALSE),"Merchant not found")</f>
        <v>East</v>
      </c>
      <c r="G539" s="5">
        <v>46023.9180555556</v>
      </c>
      <c r="H539" s="1">
        <v>299</v>
      </c>
      <c r="I539" s="1" t="s">
        <v>64</v>
      </c>
      <c r="J539" s="1" t="s">
        <v>65</v>
      </c>
      <c r="K539" s="1">
        <v>83</v>
      </c>
      <c r="L539" s="6">
        <f>IFERROR(HLOOKUP($I539,Reference!$B$1:$E$2,2,FALSE),0)</f>
        <v>0.02</v>
      </c>
      <c r="M539" s="7">
        <f t="shared" si="0"/>
        <v>46023</v>
      </c>
      <c r="N539" s="3" t="str">
        <f t="shared" si="1"/>
        <v>Regular</v>
      </c>
    </row>
    <row r="540" customHeight="1" spans="1:14">
      <c r="A540" s="1" t="s">
        <v>593</v>
      </c>
      <c r="B540" s="1">
        <v>200</v>
      </c>
      <c r="C540" s="1">
        <v>21</v>
      </c>
      <c r="D540" s="3" t="str">
        <f>IFERROR(VLOOKUP($C540,merchants!$A$1:$D$41,2,FALSE),"Merchant not found")</f>
        <v>Merchant_021</v>
      </c>
      <c r="E540" s="3" t="str">
        <f>IFERROR(VLOOKUP($C540,merchants!$A$1:$D$41,3,FALSE),"Merchant not found")</f>
        <v>food_delivery</v>
      </c>
      <c r="F540" s="3" t="str">
        <f>IFERROR(VLOOKUP($C540,merchants!$A$1:$D$41,4,FALSE),"Merchant not found")</f>
        <v>East</v>
      </c>
      <c r="G540" s="5">
        <v>46023.91875</v>
      </c>
      <c r="H540" s="1">
        <v>299</v>
      </c>
      <c r="I540" s="1" t="s">
        <v>64</v>
      </c>
      <c r="J540" s="1" t="s">
        <v>50</v>
      </c>
      <c r="K540" s="1">
        <v>89</v>
      </c>
      <c r="L540" s="6">
        <f>IFERROR(HLOOKUP($I540,Reference!$B$1:$E$2,2,FALSE),0)</f>
        <v>0.02</v>
      </c>
      <c r="M540" s="7">
        <f t="shared" si="0"/>
        <v>46023</v>
      </c>
      <c r="N540" s="3" t="str">
        <f t="shared" si="1"/>
        <v>Regular</v>
      </c>
    </row>
    <row r="541" customHeight="1" spans="1:14">
      <c r="A541" s="1" t="s">
        <v>594</v>
      </c>
      <c r="B541" s="1">
        <v>59</v>
      </c>
      <c r="C541" s="1">
        <v>32</v>
      </c>
      <c r="D541" s="3" t="str">
        <f>IFERROR(VLOOKUP($C541,merchants!$A$1:$D$41,2,FALSE),"Merchant not found")</f>
        <v>Merchant_032</v>
      </c>
      <c r="E541" s="3" t="str">
        <f>IFERROR(VLOOKUP($C541,merchants!$A$1:$D$41,3,FALSE),"Merchant not found")</f>
        <v>food_delivery</v>
      </c>
      <c r="F541" s="3" t="str">
        <f>IFERROR(VLOOKUP($C541,merchants!$A$1:$D$41,4,FALSE),"Merchant not found")</f>
        <v>West</v>
      </c>
      <c r="G541" s="5">
        <v>46031.875</v>
      </c>
      <c r="H541" s="1">
        <v>499</v>
      </c>
      <c r="I541" s="1" t="s">
        <v>64</v>
      </c>
      <c r="J541" s="1" t="s">
        <v>65</v>
      </c>
      <c r="K541" s="1">
        <v>80</v>
      </c>
      <c r="L541" s="6">
        <f>IFERROR(HLOOKUP($I541,Reference!$B$1:$E$2,2,FALSE),0)</f>
        <v>0.02</v>
      </c>
      <c r="M541" s="7">
        <f t="shared" si="0"/>
        <v>46031</v>
      </c>
      <c r="N541" s="3" t="str">
        <f t="shared" si="1"/>
        <v>Regular</v>
      </c>
    </row>
    <row r="542" customHeight="1" spans="1:14">
      <c r="A542" s="1" t="s">
        <v>595</v>
      </c>
      <c r="B542" s="1">
        <v>59</v>
      </c>
      <c r="C542" s="1">
        <v>39</v>
      </c>
      <c r="D542" s="3" t="str">
        <f>IFERROR(VLOOKUP($C542,merchants!$A$1:$D$41,2,FALSE),"Merchant not found")</f>
        <v>Merchant_039</v>
      </c>
      <c r="E542" s="3" t="str">
        <f>IFERROR(VLOOKUP($C542,merchants!$A$1:$D$41,3,FALSE),"Merchant not found")</f>
        <v>entertainment</v>
      </c>
      <c r="F542" s="3" t="str">
        <f>IFERROR(VLOOKUP($C542,merchants!$A$1:$D$41,4,FALSE),"Merchant not found")</f>
        <v>North</v>
      </c>
      <c r="G542" s="5">
        <v>46031.8756944444</v>
      </c>
      <c r="H542" s="1">
        <v>399</v>
      </c>
      <c r="I542" s="1" t="s">
        <v>64</v>
      </c>
      <c r="J542" s="1" t="s">
        <v>65</v>
      </c>
      <c r="K542" s="1">
        <v>85</v>
      </c>
      <c r="L542" s="6">
        <f>IFERROR(HLOOKUP($I542,Reference!$B$1:$E$2,2,FALSE),0)</f>
        <v>0.02</v>
      </c>
      <c r="M542" s="7">
        <f t="shared" si="0"/>
        <v>46031</v>
      </c>
      <c r="N542" s="3" t="str">
        <f t="shared" si="1"/>
        <v>Regular</v>
      </c>
    </row>
    <row r="543" customHeight="1" spans="1:14">
      <c r="A543" s="1" t="s">
        <v>596</v>
      </c>
      <c r="B543" s="1">
        <v>59</v>
      </c>
      <c r="C543" s="1">
        <v>38</v>
      </c>
      <c r="D543" s="3" t="str">
        <f>IFERROR(VLOOKUP($C543,merchants!$A$1:$D$41,2,FALSE),"Merchant not found")</f>
        <v>Merchant_038</v>
      </c>
      <c r="E543" s="3" t="str">
        <f>IFERROR(VLOOKUP($C543,merchants!$A$1:$D$41,3,FALSE),"Merchant not found")</f>
        <v>grocery</v>
      </c>
      <c r="F543" s="3" t="str">
        <f>IFERROR(VLOOKUP($C543,merchants!$A$1:$D$41,4,FALSE),"Merchant not found")</f>
        <v>East</v>
      </c>
      <c r="G543" s="5">
        <v>46031.8763888889</v>
      </c>
      <c r="H543" s="1">
        <v>299</v>
      </c>
      <c r="I543" s="1" t="s">
        <v>64</v>
      </c>
      <c r="J543" s="1" t="s">
        <v>65</v>
      </c>
      <c r="K543" s="1">
        <v>82</v>
      </c>
      <c r="L543" s="6">
        <f>IFERROR(HLOOKUP($I543,Reference!$B$1:$E$2,2,FALSE),0)</f>
        <v>0.02</v>
      </c>
      <c r="M543" s="7">
        <f t="shared" si="0"/>
        <v>46031</v>
      </c>
      <c r="N543" s="3" t="str">
        <f t="shared" si="1"/>
        <v>Regular</v>
      </c>
    </row>
    <row r="544" customHeight="1" spans="1:14">
      <c r="A544" s="1" t="s">
        <v>597</v>
      </c>
      <c r="B544" s="1">
        <v>59</v>
      </c>
      <c r="C544" s="1">
        <v>23</v>
      </c>
      <c r="D544" s="3" t="str">
        <f>IFERROR(VLOOKUP($C544,merchants!$A$1:$D$41,2,FALSE),"Merchant not found")</f>
        <v>Merchant_023</v>
      </c>
      <c r="E544" s="3" t="str">
        <f>IFERROR(VLOOKUP($C544,merchants!$A$1:$D$41,3,FALSE),"Merchant not found")</f>
        <v>travel</v>
      </c>
      <c r="F544" s="3" t="str">
        <f>IFERROR(VLOOKUP($C544,merchants!$A$1:$D$41,4,FALSE),"Merchant not found")</f>
        <v>North</v>
      </c>
      <c r="G544" s="5">
        <v>46031.8770833333</v>
      </c>
      <c r="H544" s="1">
        <v>399</v>
      </c>
      <c r="I544" s="1" t="s">
        <v>64</v>
      </c>
      <c r="J544" s="1" t="s">
        <v>50</v>
      </c>
      <c r="K544" s="1">
        <v>71</v>
      </c>
      <c r="L544" s="6">
        <f>IFERROR(HLOOKUP($I544,Reference!$B$1:$E$2,2,FALSE),0)</f>
        <v>0.02</v>
      </c>
      <c r="M544" s="7">
        <f t="shared" si="0"/>
        <v>46031</v>
      </c>
      <c r="N544" s="3" t="str">
        <f t="shared" si="1"/>
        <v>Regular</v>
      </c>
    </row>
    <row r="545" customHeight="1" spans="1:14">
      <c r="A545" s="1" t="s">
        <v>598</v>
      </c>
      <c r="B545" s="1">
        <v>345</v>
      </c>
      <c r="C545" s="1">
        <v>40</v>
      </c>
      <c r="D545" s="3" t="str">
        <f>IFERROR(VLOOKUP($C545,merchants!$A$1:$D$41,2,FALSE),"Merchant not found")</f>
        <v>Merchant_040</v>
      </c>
      <c r="E545" s="3" t="str">
        <f>IFERROR(VLOOKUP($C545,merchants!$A$1:$D$41,3,FALSE),"Merchant not found")</f>
        <v>entertainment</v>
      </c>
      <c r="F545" s="3" t="str">
        <f>IFERROR(VLOOKUP($C545,merchants!$A$1:$D$41,4,FALSE),"Merchant not found")</f>
        <v>South</v>
      </c>
      <c r="G545" s="5">
        <v>46045.375</v>
      </c>
      <c r="H545" s="1">
        <v>499</v>
      </c>
      <c r="I545" s="1" t="s">
        <v>64</v>
      </c>
      <c r="J545" s="1" t="s">
        <v>65</v>
      </c>
      <c r="K545" s="1">
        <v>65</v>
      </c>
      <c r="L545" s="6">
        <f>IFERROR(HLOOKUP($I545,Reference!$B$1:$E$2,2,FALSE),0)</f>
        <v>0.02</v>
      </c>
      <c r="M545" s="7">
        <f t="shared" si="0"/>
        <v>46045</v>
      </c>
      <c r="N545" s="3" t="str">
        <f t="shared" si="1"/>
        <v>Regular</v>
      </c>
    </row>
    <row r="546" customHeight="1" spans="1:14">
      <c r="A546" s="1" t="s">
        <v>599</v>
      </c>
      <c r="B546" s="1">
        <v>345</v>
      </c>
      <c r="C546" s="1">
        <v>9</v>
      </c>
      <c r="D546" s="3" t="str">
        <f>IFERROR(VLOOKUP($C546,merchants!$A$1:$D$41,2,FALSE),"Merchant not found")</f>
        <v>Merchant_009</v>
      </c>
      <c r="E546" s="3" t="str">
        <f>IFERROR(VLOOKUP($C546,merchants!$A$1:$D$41,3,FALSE),"Merchant not found")</f>
        <v>ecommerce</v>
      </c>
      <c r="F546" s="3" t="str">
        <f>IFERROR(VLOOKUP($C546,merchants!$A$1:$D$41,4,FALSE),"Merchant not found")</f>
        <v>North</v>
      </c>
      <c r="G546" s="5">
        <v>46045.3756944444</v>
      </c>
      <c r="H546" s="1">
        <v>399</v>
      </c>
      <c r="I546" s="1" t="s">
        <v>64</v>
      </c>
      <c r="J546" s="1" t="s">
        <v>65</v>
      </c>
      <c r="K546" s="1">
        <v>67</v>
      </c>
      <c r="L546" s="6">
        <f>IFERROR(HLOOKUP($I546,Reference!$B$1:$E$2,2,FALSE),0)</f>
        <v>0.02</v>
      </c>
      <c r="M546" s="7">
        <f t="shared" si="0"/>
        <v>46045</v>
      </c>
      <c r="N546" s="3" t="str">
        <f t="shared" si="1"/>
        <v>Regular</v>
      </c>
    </row>
    <row r="547" customHeight="1" spans="1:14">
      <c r="A547" s="1" t="s">
        <v>600</v>
      </c>
      <c r="B547" s="1">
        <v>345</v>
      </c>
      <c r="C547" s="1">
        <v>16</v>
      </c>
      <c r="D547" s="3" t="str">
        <f>IFERROR(VLOOKUP($C547,merchants!$A$1:$D$41,2,FALSE),"Merchant not found")</f>
        <v>Merchant_016</v>
      </c>
      <c r="E547" s="3" t="str">
        <f>IFERROR(VLOOKUP($C547,merchants!$A$1:$D$41,3,FALSE),"Merchant not found")</f>
        <v>bill_payment</v>
      </c>
      <c r="F547" s="3" t="str">
        <f>IFERROR(VLOOKUP($C547,merchants!$A$1:$D$41,4,FALSE),"Merchant not found")</f>
        <v>West</v>
      </c>
      <c r="G547" s="5">
        <v>46045.3763888889</v>
      </c>
      <c r="H547" s="1">
        <v>399</v>
      </c>
      <c r="I547" s="1" t="s">
        <v>64</v>
      </c>
      <c r="J547" s="1" t="s">
        <v>65</v>
      </c>
      <c r="K547" s="1">
        <v>67</v>
      </c>
      <c r="L547" s="6">
        <f>IFERROR(HLOOKUP($I547,Reference!$B$1:$E$2,2,FALSE),0)</f>
        <v>0.02</v>
      </c>
      <c r="M547" s="7">
        <f t="shared" si="0"/>
        <v>46045</v>
      </c>
      <c r="N547" s="3" t="str">
        <f t="shared" si="1"/>
        <v>Regular</v>
      </c>
    </row>
    <row r="548" customHeight="1" spans="1:14">
      <c r="A548" s="1" t="s">
        <v>601</v>
      </c>
      <c r="B548" s="1">
        <v>345</v>
      </c>
      <c r="C548" s="1">
        <v>12</v>
      </c>
      <c r="D548" s="3" t="str">
        <f>IFERROR(VLOOKUP($C548,merchants!$A$1:$D$41,2,FALSE),"Merchant not found")</f>
        <v>Merchant_012</v>
      </c>
      <c r="E548" s="3" t="str">
        <f>IFERROR(VLOOKUP($C548,merchants!$A$1:$D$41,3,FALSE),"Merchant not found")</f>
        <v>ecommerce</v>
      </c>
      <c r="F548" s="3" t="str">
        <f>IFERROR(VLOOKUP($C548,merchants!$A$1:$D$41,4,FALSE),"Merchant not found")</f>
        <v>East</v>
      </c>
      <c r="G548" s="5">
        <v>46045.3770833333</v>
      </c>
      <c r="H548" s="1">
        <v>399</v>
      </c>
      <c r="I548" s="1" t="s">
        <v>64</v>
      </c>
      <c r="J548" s="1" t="s">
        <v>50</v>
      </c>
      <c r="K548" s="1">
        <v>69</v>
      </c>
      <c r="L548" s="6">
        <f>IFERROR(HLOOKUP($I548,Reference!$B$1:$E$2,2,FALSE),0)</f>
        <v>0.02</v>
      </c>
      <c r="M548" s="7">
        <f t="shared" si="0"/>
        <v>46045</v>
      </c>
      <c r="N548" s="3" t="str">
        <f t="shared" si="1"/>
        <v>Regular</v>
      </c>
    </row>
    <row r="549" customHeight="1" spans="1:14">
      <c r="L549" s="6"/>
      <c r="M549" s="7"/>
    </row>
    <row r="550" customHeight="1" spans="1:14">
      <c r="L550" s="6"/>
      <c r="M550" s="7"/>
    </row>
    <row r="551" customHeight="1" spans="1:14">
      <c r="L551" s="6"/>
      <c r="M551" s="7"/>
    </row>
    <row r="552" customHeight="1" spans="1:14">
      <c r="L552" s="6"/>
      <c r="M552" s="7"/>
    </row>
    <row r="553" customHeight="1" spans="1:14">
      <c r="L553" s="6"/>
      <c r="M553" s="7"/>
    </row>
    <row r="554" customHeight="1" spans="1:14">
      <c r="L554" s="6"/>
      <c r="M554" s="7"/>
    </row>
    <row r="555" customHeight="1" spans="1:14">
      <c r="L555" s="6"/>
      <c r="M555" s="7"/>
    </row>
    <row r="556" customHeight="1" spans="1:14">
      <c r="L556" s="6"/>
      <c r="M556" s="7"/>
    </row>
    <row r="557" customHeight="1" spans="1:14">
      <c r="L557" s="6"/>
      <c r="M557" s="7"/>
    </row>
    <row r="558" customHeight="1" spans="1:14">
      <c r="L558" s="6"/>
      <c r="M558" s="7"/>
    </row>
    <row r="559" customHeight="1" spans="1:14">
      <c r="L559" s="6"/>
      <c r="M559" s="7"/>
    </row>
    <row r="560" customHeight="1" spans="1:14">
      <c r="L560" s="6"/>
      <c r="M560" s="7"/>
    </row>
    <row r="561" customHeight="1" spans="12:13">
      <c r="L561" s="6"/>
      <c r="M561" s="7"/>
    </row>
    <row r="562" customHeight="1" spans="12:13">
      <c r="L562" s="6"/>
      <c r="M562" s="7"/>
    </row>
    <row r="563" customHeight="1" spans="12:13">
      <c r="L563" s="6"/>
      <c r="M563" s="7"/>
    </row>
    <row r="564" customHeight="1" spans="12:13">
      <c r="L564" s="6"/>
      <c r="M564" s="7"/>
    </row>
    <row r="565" customHeight="1" spans="12:13">
      <c r="L565" s="6"/>
      <c r="M565" s="7"/>
    </row>
    <row r="566" customHeight="1" spans="12:13">
      <c r="L566" s="6"/>
      <c r="M566" s="7"/>
    </row>
    <row r="567" customHeight="1" spans="12:13">
      <c r="L567" s="6"/>
      <c r="M567" s="7"/>
    </row>
    <row r="568" customHeight="1" spans="12:13">
      <c r="L568" s="6"/>
      <c r="M568" s="7"/>
    </row>
    <row r="569" customHeight="1" spans="12:13">
      <c r="L569" s="6"/>
      <c r="M569" s="7"/>
    </row>
    <row r="570" customHeight="1" spans="12:13">
      <c r="L570" s="6"/>
      <c r="M570" s="7"/>
    </row>
    <row r="571" customHeight="1" spans="12:13">
      <c r="L571" s="6"/>
      <c r="M571" s="7"/>
    </row>
    <row r="572" customHeight="1" spans="12:13">
      <c r="L572" s="6"/>
      <c r="M572" s="7"/>
    </row>
    <row r="573" customHeight="1" spans="12:13">
      <c r="L573" s="6"/>
      <c r="M573" s="7"/>
    </row>
    <row r="574" customHeight="1" spans="12:13">
      <c r="L574" s="6"/>
      <c r="M574" s="7"/>
    </row>
    <row r="575" customHeight="1" spans="12:13">
      <c r="L575" s="6"/>
      <c r="M575" s="7"/>
    </row>
    <row r="576" customHeight="1" spans="12:13">
      <c r="L576" s="6"/>
      <c r="M576" s="7"/>
    </row>
    <row r="577" customHeight="1" spans="12:13">
      <c r="L577" s="6"/>
      <c r="M577" s="7"/>
    </row>
    <row r="578" customHeight="1" spans="12:13">
      <c r="L578" s="6"/>
      <c r="M578" s="7"/>
    </row>
    <row r="579" customHeight="1" spans="12:13">
      <c r="L579" s="6"/>
      <c r="M579" s="7"/>
    </row>
    <row r="580" customHeight="1" spans="12:13">
      <c r="L580" s="6"/>
      <c r="M580" s="7"/>
    </row>
    <row r="581" customHeight="1" spans="12:13">
      <c r="L581" s="6"/>
      <c r="M581" s="7"/>
    </row>
    <row r="582" customHeight="1" spans="12:13">
      <c r="L582" s="6"/>
      <c r="M582" s="7"/>
    </row>
    <row r="583" customHeight="1" spans="12:13">
      <c r="L583" s="6"/>
      <c r="M583" s="7"/>
    </row>
    <row r="584" customHeight="1" spans="12:13">
      <c r="L584" s="6"/>
      <c r="M584" s="7"/>
    </row>
    <row r="585" customHeight="1" spans="12:13">
      <c r="L585" s="6"/>
      <c r="M585" s="7"/>
    </row>
    <row r="586" customHeight="1" spans="12:13">
      <c r="L586" s="6"/>
      <c r="M586" s="7"/>
    </row>
    <row r="587" customHeight="1" spans="12:13">
      <c r="L587" s="6"/>
      <c r="M587" s="7"/>
    </row>
    <row r="588" customHeight="1" spans="12:13">
      <c r="L588" s="6"/>
      <c r="M588" s="7"/>
    </row>
    <row r="589" customHeight="1" spans="12:13">
      <c r="L589" s="6"/>
      <c r="M589" s="7"/>
    </row>
    <row r="590" customHeight="1" spans="12:13">
      <c r="L590" s="6"/>
      <c r="M590" s="7"/>
    </row>
    <row r="591" customHeight="1" spans="12:13">
      <c r="L591" s="6"/>
      <c r="M591" s="7"/>
    </row>
    <row r="592" customHeight="1" spans="12:13">
      <c r="L592" s="6"/>
      <c r="M592" s="7"/>
    </row>
    <row r="593" customHeight="1" spans="12:13">
      <c r="L593" s="6"/>
      <c r="M593" s="7"/>
    </row>
    <row r="594" customHeight="1" spans="12:13">
      <c r="L594" s="6"/>
      <c r="M594" s="7"/>
    </row>
    <row r="595" customHeight="1" spans="12:13">
      <c r="L595" s="6"/>
      <c r="M595" s="7"/>
    </row>
    <row r="596" customHeight="1" spans="12:13">
      <c r="L596" s="6"/>
      <c r="M596" s="7"/>
    </row>
    <row r="597" customHeight="1" spans="12:13">
      <c r="L597" s="6"/>
      <c r="M597" s="7"/>
    </row>
    <row r="598" customHeight="1" spans="12:13">
      <c r="L598" s="6"/>
      <c r="M598" s="7"/>
    </row>
    <row r="599" customHeight="1" spans="12:13">
      <c r="L599" s="6"/>
      <c r="M599" s="7"/>
    </row>
    <row r="600" customHeight="1" spans="12:13">
      <c r="L600" s="6"/>
      <c r="M600" s="7"/>
    </row>
    <row r="601" customHeight="1" spans="12:13">
      <c r="L601" s="6"/>
      <c r="M601" s="7"/>
    </row>
    <row r="602" customHeight="1" spans="12:13">
      <c r="L602" s="6"/>
      <c r="M602" s="7"/>
    </row>
    <row r="603" customHeight="1" spans="12:13">
      <c r="L603" s="6"/>
      <c r="M603" s="7"/>
    </row>
    <row r="604" customHeight="1" spans="12:13">
      <c r="L604" s="6"/>
      <c r="M604" s="7"/>
    </row>
    <row r="605" customHeight="1" spans="12:13">
      <c r="L605" s="6"/>
      <c r="M605" s="7"/>
    </row>
    <row r="606" customHeight="1" spans="12:13">
      <c r="L606" s="6"/>
      <c r="M606" s="7"/>
    </row>
    <row r="607" customHeight="1" spans="12:13">
      <c r="L607" s="6"/>
      <c r="M607" s="7"/>
    </row>
    <row r="608" customHeight="1" spans="12:13">
      <c r="L608" s="6"/>
      <c r="M608" s="7"/>
    </row>
    <row r="609" customHeight="1" spans="12:13">
      <c r="L609" s="6"/>
      <c r="M609" s="7"/>
    </row>
    <row r="610" customHeight="1" spans="12:13">
      <c r="L610" s="6"/>
      <c r="M610" s="7"/>
    </row>
    <row r="611" customHeight="1" spans="12:13">
      <c r="L611" s="6"/>
      <c r="M611" s="7"/>
    </row>
    <row r="612" customHeight="1" spans="12:13">
      <c r="L612" s="6"/>
      <c r="M612" s="7"/>
    </row>
    <row r="613" customHeight="1" spans="12:13">
      <c r="L613" s="6"/>
      <c r="M613" s="7"/>
    </row>
    <row r="614" customHeight="1" spans="12:13">
      <c r="L614" s="6"/>
      <c r="M614" s="7"/>
    </row>
    <row r="615" customHeight="1" spans="12:13">
      <c r="L615" s="6"/>
      <c r="M615" s="7"/>
    </row>
    <row r="616" customHeight="1" spans="12:13">
      <c r="L616" s="6"/>
      <c r="M616" s="7"/>
    </row>
    <row r="617" customHeight="1" spans="12:13">
      <c r="L617" s="6"/>
      <c r="M617" s="7"/>
    </row>
    <row r="618" customHeight="1" spans="12:13">
      <c r="L618" s="6"/>
      <c r="M618" s="7"/>
    </row>
    <row r="619" customHeight="1" spans="12:13">
      <c r="L619" s="6"/>
      <c r="M619" s="7"/>
    </row>
    <row r="620" customHeight="1" spans="12:13">
      <c r="L620" s="6"/>
      <c r="M620" s="7"/>
    </row>
    <row r="621" customHeight="1" spans="12:13">
      <c r="L621" s="6"/>
      <c r="M621" s="7"/>
    </row>
    <row r="622" customHeight="1" spans="12:13">
      <c r="L622" s="6"/>
      <c r="M622" s="7"/>
    </row>
    <row r="623" customHeight="1" spans="12:13">
      <c r="L623" s="6"/>
      <c r="M623" s="7"/>
    </row>
    <row r="624" customHeight="1" spans="12:13">
      <c r="L624" s="6"/>
      <c r="M624" s="7"/>
    </row>
    <row r="625" customHeight="1" spans="12:13">
      <c r="L625" s="6"/>
      <c r="M625" s="7"/>
    </row>
    <row r="626" customHeight="1" spans="12:13">
      <c r="L626" s="6"/>
      <c r="M626" s="7"/>
    </row>
    <row r="627" customHeight="1" spans="12:13">
      <c r="L627" s="6"/>
      <c r="M627" s="7"/>
    </row>
    <row r="628" customHeight="1" spans="12:13">
      <c r="L628" s="6"/>
      <c r="M628" s="7"/>
    </row>
    <row r="629" customHeight="1" spans="12:13">
      <c r="L629" s="6"/>
      <c r="M629" s="7"/>
    </row>
    <row r="630" customHeight="1" spans="12:13">
      <c r="L630" s="6"/>
      <c r="M630" s="7"/>
    </row>
    <row r="631" customHeight="1" spans="12:13">
      <c r="L631" s="6"/>
      <c r="M631" s="7"/>
    </row>
    <row r="632" customHeight="1" spans="12:13">
      <c r="L632" s="6"/>
      <c r="M632" s="7"/>
    </row>
    <row r="633" customHeight="1" spans="12:13">
      <c r="L633" s="6"/>
      <c r="M633" s="7"/>
    </row>
    <row r="634" customHeight="1" spans="12:13">
      <c r="L634" s="6"/>
      <c r="M634" s="7"/>
    </row>
    <row r="635" customHeight="1" spans="12:13">
      <c r="L635" s="6"/>
      <c r="M635" s="7"/>
    </row>
    <row r="636" customHeight="1" spans="12:13">
      <c r="L636" s="6"/>
      <c r="M636" s="7"/>
    </row>
    <row r="637" customHeight="1" spans="12:13">
      <c r="L637" s="6"/>
      <c r="M637" s="7"/>
    </row>
    <row r="638" customHeight="1" spans="12:13">
      <c r="L638" s="6"/>
      <c r="M638" s="7"/>
    </row>
    <row r="639" customHeight="1" spans="12:13">
      <c r="L639" s="6"/>
      <c r="M639" s="7"/>
    </row>
    <row r="640" customHeight="1" spans="12:13">
      <c r="L640" s="6"/>
      <c r="M640" s="7"/>
    </row>
    <row r="641" customHeight="1" spans="12:13">
      <c r="L641" s="6"/>
      <c r="M641" s="7"/>
    </row>
    <row r="642" customHeight="1" spans="12:13">
      <c r="L642" s="6"/>
      <c r="M642" s="7"/>
    </row>
    <row r="643" customHeight="1" spans="12:13">
      <c r="L643" s="6"/>
      <c r="M643" s="7"/>
    </row>
    <row r="644" customHeight="1" spans="12:13">
      <c r="L644" s="6"/>
      <c r="M644" s="7"/>
    </row>
    <row r="645" customHeight="1" spans="12:13">
      <c r="L645" s="6"/>
      <c r="M645" s="7"/>
    </row>
    <row r="646" customHeight="1" spans="12:13">
      <c r="L646" s="6"/>
      <c r="M646" s="7"/>
    </row>
    <row r="647" customHeight="1" spans="12:13">
      <c r="L647" s="6"/>
      <c r="M647" s="7"/>
    </row>
    <row r="648" customHeight="1" spans="12:13">
      <c r="L648" s="6"/>
      <c r="M648" s="7"/>
    </row>
    <row r="649" customHeight="1" spans="12:13">
      <c r="L649" s="6"/>
      <c r="M649" s="7"/>
    </row>
    <row r="650" customHeight="1" spans="12:13">
      <c r="L650" s="6"/>
      <c r="M650" s="7"/>
    </row>
    <row r="651" customHeight="1" spans="12:13">
      <c r="L651" s="6"/>
      <c r="M651" s="7"/>
    </row>
    <row r="652" customHeight="1" spans="12:13">
      <c r="L652" s="6"/>
      <c r="M652" s="7"/>
    </row>
    <row r="653" customHeight="1" spans="12:13">
      <c r="L653" s="6"/>
      <c r="M653" s="7"/>
    </row>
    <row r="654" customHeight="1" spans="12:13">
      <c r="L654" s="6"/>
      <c r="M654" s="7"/>
    </row>
    <row r="655" customHeight="1" spans="12:13">
      <c r="L655" s="6"/>
      <c r="M655" s="7"/>
    </row>
    <row r="656" customHeight="1" spans="12:13">
      <c r="L656" s="6"/>
      <c r="M656" s="7"/>
    </row>
    <row r="657" customHeight="1" spans="12:13">
      <c r="L657" s="6"/>
      <c r="M657" s="7"/>
    </row>
    <row r="658" customHeight="1" spans="12:13">
      <c r="L658" s="6"/>
      <c r="M658" s="7"/>
    </row>
    <row r="659" customHeight="1" spans="12:13">
      <c r="L659" s="6"/>
      <c r="M659" s="7"/>
    </row>
    <row r="660" customHeight="1" spans="12:13">
      <c r="L660" s="6"/>
      <c r="M660" s="7"/>
    </row>
    <row r="661" customHeight="1" spans="12:13">
      <c r="L661" s="6"/>
      <c r="M661" s="7"/>
    </row>
    <row r="662" customHeight="1" spans="12:13">
      <c r="L662" s="6"/>
      <c r="M662" s="7"/>
    </row>
    <row r="663" customHeight="1" spans="12:13">
      <c r="L663" s="6"/>
      <c r="M663" s="7"/>
    </row>
    <row r="664" customHeight="1" spans="12:13">
      <c r="L664" s="6"/>
      <c r="M664" s="7"/>
    </row>
    <row r="665" customHeight="1" spans="12:13">
      <c r="L665" s="6"/>
      <c r="M665" s="7"/>
    </row>
    <row r="666" customHeight="1" spans="12:13">
      <c r="L666" s="6"/>
      <c r="M666" s="7"/>
    </row>
    <row r="667" customHeight="1" spans="12:13">
      <c r="L667" s="6"/>
      <c r="M667" s="7"/>
    </row>
    <row r="668" customHeight="1" spans="12:13">
      <c r="L668" s="6"/>
      <c r="M668" s="7"/>
    </row>
    <row r="669" customHeight="1" spans="12:13">
      <c r="L669" s="6"/>
      <c r="M669" s="7"/>
    </row>
    <row r="670" customHeight="1" spans="12:13">
      <c r="L670" s="6"/>
      <c r="M670" s="7"/>
    </row>
    <row r="671" customHeight="1" spans="12:13">
      <c r="L671" s="6"/>
      <c r="M671" s="7"/>
    </row>
    <row r="672" customHeight="1" spans="12:13">
      <c r="L672" s="6"/>
      <c r="M672" s="7"/>
    </row>
    <row r="673" customHeight="1" spans="12:13">
      <c r="L673" s="6"/>
      <c r="M673" s="7"/>
    </row>
    <row r="674" customHeight="1" spans="12:13">
      <c r="L674" s="6"/>
      <c r="M674" s="7"/>
    </row>
    <row r="675" customHeight="1" spans="12:13">
      <c r="L675" s="6"/>
      <c r="M675" s="7"/>
    </row>
    <row r="676" customHeight="1" spans="12:13">
      <c r="L676" s="6"/>
      <c r="M676" s="7"/>
    </row>
    <row r="677" customHeight="1" spans="12:13">
      <c r="L677" s="6"/>
      <c r="M677" s="7"/>
    </row>
    <row r="678" customHeight="1" spans="12:13">
      <c r="L678" s="6"/>
      <c r="M678" s="7"/>
    </row>
    <row r="679" customHeight="1" spans="12:13">
      <c r="L679" s="6"/>
      <c r="M679" s="7"/>
    </row>
    <row r="680" customHeight="1" spans="12:13">
      <c r="L680" s="6"/>
      <c r="M680" s="7"/>
    </row>
    <row r="681" customHeight="1" spans="12:13">
      <c r="L681" s="6"/>
      <c r="M681" s="7"/>
    </row>
    <row r="682" customHeight="1" spans="12:13">
      <c r="L682" s="6"/>
      <c r="M682" s="7"/>
    </row>
    <row r="683" customHeight="1" spans="12:13">
      <c r="L683" s="6"/>
      <c r="M683" s="7"/>
    </row>
    <row r="684" customHeight="1" spans="12:13">
      <c r="L684" s="6"/>
      <c r="M684" s="7"/>
    </row>
    <row r="685" customHeight="1" spans="12:13">
      <c r="L685" s="6"/>
      <c r="M685" s="7"/>
    </row>
    <row r="686" customHeight="1" spans="12:13">
      <c r="L686" s="6"/>
      <c r="M686" s="7"/>
    </row>
    <row r="687" customHeight="1" spans="12:13">
      <c r="L687" s="6"/>
      <c r="M687" s="7"/>
    </row>
    <row r="688" customHeight="1" spans="12:13">
      <c r="L688" s="6"/>
      <c r="M688" s="7"/>
    </row>
    <row r="689" customHeight="1" spans="12:13">
      <c r="L689" s="6"/>
      <c r="M689" s="7"/>
    </row>
    <row r="690" customHeight="1" spans="12:13">
      <c r="L690" s="6"/>
      <c r="M690" s="7"/>
    </row>
    <row r="691" customHeight="1" spans="12:13">
      <c r="L691" s="6"/>
      <c r="M691" s="7"/>
    </row>
    <row r="692" customHeight="1" spans="12:13">
      <c r="L692" s="6"/>
      <c r="M692" s="7"/>
    </row>
    <row r="693" customHeight="1" spans="12:13">
      <c r="L693" s="6"/>
      <c r="M693" s="7"/>
    </row>
    <row r="694" customHeight="1" spans="12:13">
      <c r="L694" s="6"/>
      <c r="M694" s="7"/>
    </row>
    <row r="695" customHeight="1" spans="12:13">
      <c r="L695" s="6"/>
      <c r="M695" s="7"/>
    </row>
    <row r="696" customHeight="1" spans="12:13">
      <c r="L696" s="6"/>
      <c r="M696" s="7"/>
    </row>
    <row r="697" customHeight="1" spans="12:13">
      <c r="L697" s="6"/>
      <c r="M697" s="7"/>
    </row>
    <row r="698" customHeight="1" spans="12:13">
      <c r="L698" s="6"/>
      <c r="M698" s="7"/>
    </row>
    <row r="699" customHeight="1" spans="12:13">
      <c r="L699" s="6"/>
      <c r="M699" s="7"/>
    </row>
    <row r="700" customHeight="1" spans="12:13">
      <c r="L700" s="6"/>
      <c r="M700" s="7"/>
    </row>
    <row r="701" customHeight="1" spans="12:13">
      <c r="L701" s="6"/>
      <c r="M701" s="7"/>
    </row>
    <row r="702" customHeight="1" spans="12:13">
      <c r="L702" s="6"/>
      <c r="M702" s="7"/>
    </row>
    <row r="703" customHeight="1" spans="12:13">
      <c r="L703" s="6"/>
      <c r="M703" s="7"/>
    </row>
    <row r="704" customHeight="1" spans="12:13">
      <c r="L704" s="6"/>
      <c r="M704" s="7"/>
    </row>
    <row r="705" customHeight="1" spans="12:13">
      <c r="L705" s="6"/>
      <c r="M705" s="7"/>
    </row>
    <row r="706" customHeight="1" spans="12:13">
      <c r="L706" s="6"/>
      <c r="M706" s="7"/>
    </row>
    <row r="707" customHeight="1" spans="12:13">
      <c r="L707" s="6"/>
      <c r="M707" s="7"/>
    </row>
    <row r="708" customHeight="1" spans="12:13">
      <c r="L708" s="6"/>
      <c r="M708" s="7"/>
    </row>
    <row r="709" customHeight="1" spans="12:13">
      <c r="L709" s="6"/>
      <c r="M709" s="7"/>
    </row>
    <row r="710" customHeight="1" spans="12:13">
      <c r="L710" s="6"/>
      <c r="M710" s="7"/>
    </row>
    <row r="711" customHeight="1" spans="12:13">
      <c r="L711" s="6"/>
      <c r="M711" s="7"/>
    </row>
    <row r="712" customHeight="1" spans="12:13">
      <c r="L712" s="6"/>
      <c r="M712" s="7"/>
    </row>
    <row r="713" customHeight="1" spans="12:13">
      <c r="L713" s="6"/>
      <c r="M713" s="7"/>
    </row>
    <row r="714" customHeight="1" spans="12:13">
      <c r="L714" s="6"/>
      <c r="M714" s="7"/>
    </row>
    <row r="715" customHeight="1" spans="12:13">
      <c r="L715" s="6"/>
      <c r="M715" s="7"/>
    </row>
    <row r="716" customHeight="1" spans="12:13">
      <c r="L716" s="6"/>
      <c r="M716" s="7"/>
    </row>
    <row r="717" customHeight="1" spans="12:13">
      <c r="L717" s="6"/>
      <c r="M717" s="7"/>
    </row>
    <row r="718" customHeight="1" spans="12:13">
      <c r="L718" s="6"/>
      <c r="M718" s="7"/>
    </row>
    <row r="719" customHeight="1" spans="12:13">
      <c r="L719" s="6"/>
      <c r="M719" s="7"/>
    </row>
    <row r="720" customHeight="1" spans="12:13">
      <c r="L720" s="6"/>
      <c r="M720" s="7"/>
    </row>
    <row r="721" customHeight="1" spans="12:13">
      <c r="L721" s="6"/>
      <c r="M721" s="7"/>
    </row>
    <row r="722" customHeight="1" spans="12:13">
      <c r="L722" s="6"/>
      <c r="M722" s="7"/>
    </row>
    <row r="723" customHeight="1" spans="12:13">
      <c r="L723" s="6"/>
      <c r="M723" s="7"/>
    </row>
    <row r="724" customHeight="1" spans="12:13">
      <c r="L724" s="6"/>
      <c r="M724" s="7"/>
    </row>
    <row r="725" customHeight="1" spans="12:13">
      <c r="L725" s="6"/>
      <c r="M725" s="7"/>
    </row>
    <row r="726" customHeight="1" spans="12:13">
      <c r="L726" s="6"/>
      <c r="M726" s="7"/>
    </row>
    <row r="727" customHeight="1" spans="12:13">
      <c r="L727" s="6"/>
      <c r="M727" s="7"/>
    </row>
    <row r="728" customHeight="1" spans="12:13">
      <c r="L728" s="6"/>
      <c r="M728" s="7"/>
    </row>
    <row r="729" customHeight="1" spans="12:13">
      <c r="L729" s="6"/>
      <c r="M729" s="7"/>
    </row>
    <row r="730" customHeight="1" spans="12:13">
      <c r="L730" s="6"/>
      <c r="M730" s="7"/>
    </row>
    <row r="731" customHeight="1" spans="12:13">
      <c r="L731" s="6"/>
      <c r="M731" s="7"/>
    </row>
    <row r="732" customHeight="1" spans="12:13">
      <c r="L732" s="6"/>
      <c r="M732" s="7"/>
    </row>
    <row r="733" customHeight="1" spans="12:13">
      <c r="L733" s="6"/>
      <c r="M733" s="7"/>
    </row>
    <row r="734" customHeight="1" spans="12:13">
      <c r="L734" s="6"/>
      <c r="M734" s="7"/>
    </row>
    <row r="735" customHeight="1" spans="12:13">
      <c r="L735" s="6"/>
      <c r="M735" s="7"/>
    </row>
    <row r="736" customHeight="1" spans="12:13">
      <c r="L736" s="6"/>
      <c r="M736" s="7"/>
    </row>
    <row r="737" customHeight="1" spans="12:13">
      <c r="L737" s="6"/>
      <c r="M737" s="7"/>
    </row>
    <row r="738" customHeight="1" spans="12:13">
      <c r="L738" s="6"/>
      <c r="M738" s="7"/>
    </row>
    <row r="739" customHeight="1" spans="12:13">
      <c r="L739" s="6"/>
      <c r="M739" s="7"/>
    </row>
    <row r="740" customHeight="1" spans="12:13">
      <c r="L740" s="6"/>
      <c r="M740" s="7"/>
    </row>
    <row r="741" customHeight="1" spans="12:13">
      <c r="L741" s="6"/>
      <c r="M741" s="7"/>
    </row>
    <row r="742" customHeight="1" spans="12:13">
      <c r="L742" s="6"/>
      <c r="M742" s="7"/>
    </row>
    <row r="743" customHeight="1" spans="12:13">
      <c r="L743" s="6"/>
      <c r="M743" s="7"/>
    </row>
    <row r="744" customHeight="1" spans="12:13">
      <c r="L744" s="6"/>
      <c r="M744" s="7"/>
    </row>
    <row r="745" customHeight="1" spans="12:13">
      <c r="L745" s="6"/>
      <c r="M745" s="7"/>
    </row>
    <row r="746" customHeight="1" spans="12:13">
      <c r="L746" s="6"/>
      <c r="M746" s="7"/>
    </row>
    <row r="747" customHeight="1" spans="12:13">
      <c r="L747" s="6"/>
      <c r="M747" s="7"/>
    </row>
    <row r="748" customHeight="1" spans="12:13">
      <c r="L748" s="6"/>
      <c r="M748" s="7"/>
    </row>
    <row r="749" customHeight="1" spans="12:13">
      <c r="L749" s="6"/>
      <c r="M749" s="7"/>
    </row>
    <row r="750" customHeight="1" spans="12:13">
      <c r="L750" s="6"/>
      <c r="M750" s="7"/>
    </row>
    <row r="751" customHeight="1" spans="12:13">
      <c r="L751" s="6"/>
      <c r="M751" s="7"/>
    </row>
    <row r="752" customHeight="1" spans="12:13">
      <c r="L752" s="6"/>
      <c r="M752" s="7"/>
    </row>
    <row r="753" customHeight="1" spans="12:13">
      <c r="L753" s="6"/>
      <c r="M753" s="7"/>
    </row>
    <row r="754" customHeight="1" spans="12:13">
      <c r="L754" s="6"/>
      <c r="M754" s="7"/>
    </row>
    <row r="755" customHeight="1" spans="12:13">
      <c r="L755" s="6"/>
      <c r="M755" s="7"/>
    </row>
    <row r="756" customHeight="1" spans="12:13">
      <c r="L756" s="6"/>
      <c r="M756" s="7"/>
    </row>
    <row r="757" customHeight="1" spans="12:13">
      <c r="L757" s="6"/>
      <c r="M757" s="7"/>
    </row>
    <row r="758" customHeight="1" spans="12:13">
      <c r="L758" s="6"/>
      <c r="M758" s="7"/>
    </row>
    <row r="759" customHeight="1" spans="12:13">
      <c r="L759" s="6"/>
      <c r="M759" s="7"/>
    </row>
    <row r="760" customHeight="1" spans="12:13">
      <c r="L760" s="6"/>
      <c r="M760" s="7"/>
    </row>
    <row r="761" customHeight="1" spans="12:13">
      <c r="L761" s="6"/>
      <c r="M761" s="7"/>
    </row>
    <row r="762" customHeight="1" spans="12:13">
      <c r="L762" s="6"/>
      <c r="M762" s="7"/>
    </row>
    <row r="763" customHeight="1" spans="12:13">
      <c r="L763" s="6"/>
      <c r="M763" s="7"/>
    </row>
    <row r="764" customHeight="1" spans="12:13">
      <c r="L764" s="6"/>
      <c r="M764" s="7"/>
    </row>
    <row r="765" customHeight="1" spans="12:13">
      <c r="L765" s="6"/>
      <c r="M765" s="7"/>
    </row>
    <row r="766" customHeight="1" spans="12:13">
      <c r="L766" s="6"/>
      <c r="M766" s="7"/>
    </row>
    <row r="767" customHeight="1" spans="12:13">
      <c r="L767" s="6"/>
      <c r="M767" s="7"/>
    </row>
    <row r="768" customHeight="1" spans="12:13">
      <c r="L768" s="6"/>
      <c r="M768" s="7"/>
    </row>
    <row r="769" customHeight="1" spans="12:13">
      <c r="L769" s="6"/>
      <c r="M769" s="7"/>
    </row>
    <row r="770" customHeight="1" spans="12:13">
      <c r="L770" s="6"/>
      <c r="M770" s="7"/>
    </row>
    <row r="771" customHeight="1" spans="12:13">
      <c r="L771" s="6"/>
      <c r="M771" s="7"/>
    </row>
    <row r="772" customHeight="1" spans="12:13">
      <c r="L772" s="6"/>
      <c r="M772" s="7"/>
    </row>
    <row r="773" customHeight="1" spans="12:13">
      <c r="L773" s="6"/>
      <c r="M773" s="7"/>
    </row>
    <row r="774" customHeight="1" spans="12:13">
      <c r="L774" s="6"/>
      <c r="M774" s="7"/>
    </row>
    <row r="775" customHeight="1" spans="12:13">
      <c r="L775" s="6"/>
      <c r="M775" s="7"/>
    </row>
    <row r="776" customHeight="1" spans="12:13">
      <c r="L776" s="6"/>
      <c r="M776" s="7"/>
    </row>
    <row r="777" customHeight="1" spans="12:13">
      <c r="L777" s="6"/>
      <c r="M777" s="7"/>
    </row>
    <row r="778" customHeight="1" spans="12:13">
      <c r="L778" s="6"/>
      <c r="M778" s="7"/>
    </row>
    <row r="779" customHeight="1" spans="12:13">
      <c r="L779" s="6"/>
      <c r="M779" s="7"/>
    </row>
    <row r="780" customHeight="1" spans="12:13">
      <c r="L780" s="6"/>
      <c r="M780" s="7"/>
    </row>
    <row r="781" customHeight="1" spans="12:13">
      <c r="L781" s="6"/>
      <c r="M781" s="7"/>
    </row>
    <row r="782" customHeight="1" spans="12:13">
      <c r="L782" s="6"/>
      <c r="M782" s="7"/>
    </row>
    <row r="783" customHeight="1" spans="12:13">
      <c r="L783" s="6"/>
      <c r="M783" s="7"/>
    </row>
    <row r="784" customHeight="1" spans="12:13">
      <c r="L784" s="6"/>
      <c r="M784" s="7"/>
    </row>
    <row r="785" customHeight="1" spans="12:13">
      <c r="L785" s="6"/>
      <c r="M785" s="7"/>
    </row>
    <row r="786" customHeight="1" spans="12:13">
      <c r="L786" s="6"/>
      <c r="M786" s="7"/>
    </row>
    <row r="787" customHeight="1" spans="12:13">
      <c r="L787" s="6"/>
      <c r="M787" s="7"/>
    </row>
    <row r="788" customHeight="1" spans="12:13">
      <c r="L788" s="6"/>
      <c r="M788" s="7"/>
    </row>
    <row r="789" customHeight="1" spans="12:13">
      <c r="L789" s="6"/>
      <c r="M789" s="7"/>
    </row>
    <row r="790" customHeight="1" spans="12:13">
      <c r="L790" s="6"/>
      <c r="M790" s="7"/>
    </row>
    <row r="791" customHeight="1" spans="12:13">
      <c r="L791" s="6"/>
      <c r="M791" s="7"/>
    </row>
    <row r="792" customHeight="1" spans="12:13">
      <c r="L792" s="6"/>
      <c r="M792" s="7"/>
    </row>
    <row r="793" customHeight="1" spans="12:13">
      <c r="L793" s="6"/>
      <c r="M793" s="7"/>
    </row>
    <row r="794" customHeight="1" spans="12:13">
      <c r="L794" s="6"/>
      <c r="M794" s="7"/>
    </row>
    <row r="795" customHeight="1" spans="12:13">
      <c r="L795" s="6"/>
      <c r="M795" s="7"/>
    </row>
    <row r="796" customHeight="1" spans="12:13">
      <c r="L796" s="6"/>
      <c r="M796" s="7"/>
    </row>
    <row r="797" customHeight="1" spans="12:13">
      <c r="L797" s="6"/>
      <c r="M797" s="7"/>
    </row>
    <row r="798" customHeight="1" spans="12:13">
      <c r="L798" s="6"/>
      <c r="M798" s="7"/>
    </row>
    <row r="799" customHeight="1" spans="12:13">
      <c r="L799" s="6"/>
      <c r="M799" s="7"/>
    </row>
    <row r="800" customHeight="1" spans="12:13">
      <c r="L800" s="6"/>
      <c r="M800" s="7"/>
    </row>
    <row r="801" customHeight="1" spans="12:13">
      <c r="L801" s="6"/>
      <c r="M801" s="7"/>
    </row>
    <row r="802" customHeight="1" spans="12:13">
      <c r="L802" s="6"/>
      <c r="M802" s="7"/>
    </row>
    <row r="803" customHeight="1" spans="12:13">
      <c r="L803" s="6"/>
      <c r="M803" s="7"/>
    </row>
    <row r="804" customHeight="1" spans="12:13">
      <c r="L804" s="6"/>
      <c r="M804" s="7"/>
    </row>
    <row r="805" customHeight="1" spans="12:13">
      <c r="L805" s="6"/>
      <c r="M805" s="7"/>
    </row>
    <row r="806" customHeight="1" spans="12:13">
      <c r="L806" s="6"/>
      <c r="M806" s="7"/>
    </row>
    <row r="807" customHeight="1" spans="12:13">
      <c r="L807" s="6"/>
      <c r="M807" s="7"/>
    </row>
    <row r="808" customHeight="1" spans="12:13">
      <c r="L808" s="6"/>
      <c r="M808" s="7"/>
    </row>
    <row r="809" customHeight="1" spans="12:13">
      <c r="L809" s="6"/>
      <c r="M809" s="7"/>
    </row>
    <row r="810" customHeight="1" spans="12:13">
      <c r="L810" s="6"/>
      <c r="M810" s="7"/>
    </row>
    <row r="811" customHeight="1" spans="12:13">
      <c r="L811" s="6"/>
      <c r="M811" s="7"/>
    </row>
    <row r="812" customHeight="1" spans="12:13">
      <c r="L812" s="6"/>
      <c r="M812" s="7"/>
    </row>
    <row r="813" customHeight="1" spans="12:13">
      <c r="L813" s="6"/>
      <c r="M813" s="7"/>
    </row>
    <row r="814" customHeight="1" spans="12:13">
      <c r="L814" s="6"/>
      <c r="M814" s="7"/>
    </row>
    <row r="815" customHeight="1" spans="12:13">
      <c r="L815" s="6"/>
      <c r="M815" s="7"/>
    </row>
    <row r="816" customHeight="1" spans="12:13">
      <c r="L816" s="6"/>
      <c r="M816" s="7"/>
    </row>
    <row r="817" customHeight="1" spans="12:13">
      <c r="L817" s="6"/>
      <c r="M817" s="7"/>
    </row>
    <row r="818" customHeight="1" spans="12:13">
      <c r="L818" s="6"/>
      <c r="M818" s="7"/>
    </row>
    <row r="819" customHeight="1" spans="12:13">
      <c r="L819" s="6"/>
      <c r="M819" s="7"/>
    </row>
    <row r="820" customHeight="1" spans="12:13">
      <c r="L820" s="6"/>
      <c r="M820" s="7"/>
    </row>
    <row r="821" customHeight="1" spans="12:13">
      <c r="L821" s="6"/>
      <c r="M821" s="7"/>
    </row>
    <row r="822" customHeight="1" spans="12:13">
      <c r="L822" s="6"/>
      <c r="M822" s="7"/>
    </row>
    <row r="823" customHeight="1" spans="12:13">
      <c r="L823" s="6"/>
      <c r="M823" s="7"/>
    </row>
    <row r="824" customHeight="1" spans="12:13">
      <c r="L824" s="6"/>
      <c r="M824" s="7"/>
    </row>
    <row r="825" customHeight="1" spans="12:13">
      <c r="L825" s="6"/>
      <c r="M825" s="7"/>
    </row>
    <row r="826" customHeight="1" spans="12:13">
      <c r="L826" s="6"/>
      <c r="M826" s="7"/>
    </row>
    <row r="827" customHeight="1" spans="12:13">
      <c r="L827" s="6"/>
      <c r="M827" s="7"/>
    </row>
    <row r="828" customHeight="1" spans="12:13">
      <c r="L828" s="6"/>
      <c r="M828" s="7"/>
    </row>
    <row r="829" customHeight="1" spans="12:13">
      <c r="L829" s="6"/>
      <c r="M829" s="7"/>
    </row>
    <row r="830" customHeight="1" spans="12:13">
      <c r="L830" s="6"/>
      <c r="M830" s="7"/>
    </row>
    <row r="831" customHeight="1" spans="12:13">
      <c r="L831" s="6"/>
      <c r="M831" s="7"/>
    </row>
    <row r="832" customHeight="1" spans="12:13">
      <c r="L832" s="6"/>
      <c r="M832" s="7"/>
    </row>
    <row r="833" customHeight="1" spans="12:13">
      <c r="L833" s="6"/>
      <c r="M833" s="7"/>
    </row>
    <row r="834" customHeight="1" spans="12:13">
      <c r="L834" s="6"/>
      <c r="M834" s="7"/>
    </row>
    <row r="835" customHeight="1" spans="12:13">
      <c r="L835" s="6"/>
      <c r="M835" s="7"/>
    </row>
    <row r="836" customHeight="1" spans="12:13">
      <c r="L836" s="6"/>
      <c r="M836" s="7"/>
    </row>
    <row r="837" customHeight="1" spans="12:13">
      <c r="L837" s="6"/>
      <c r="M837" s="7"/>
    </row>
    <row r="838" customHeight="1" spans="12:13">
      <c r="L838" s="6"/>
      <c r="M838" s="7"/>
    </row>
    <row r="839" customHeight="1" spans="12:13">
      <c r="L839" s="6"/>
      <c r="M839" s="7"/>
    </row>
    <row r="840" customHeight="1" spans="12:13">
      <c r="L840" s="6"/>
      <c r="M840" s="7"/>
    </row>
    <row r="841" customHeight="1" spans="12:13">
      <c r="L841" s="6"/>
      <c r="M841" s="7"/>
    </row>
    <row r="842" customHeight="1" spans="12:13">
      <c r="L842" s="6"/>
      <c r="M842" s="7"/>
    </row>
    <row r="843" customHeight="1" spans="12:13">
      <c r="L843" s="6"/>
      <c r="M843" s="7"/>
    </row>
    <row r="844" customHeight="1" spans="12:13">
      <c r="L844" s="6"/>
      <c r="M844" s="7"/>
    </row>
    <row r="845" customHeight="1" spans="12:13">
      <c r="L845" s="6"/>
      <c r="M845" s="7"/>
    </row>
    <row r="846" customHeight="1" spans="12:13">
      <c r="L846" s="6"/>
      <c r="M846" s="7"/>
    </row>
    <row r="847" customHeight="1" spans="12:13">
      <c r="L847" s="6"/>
      <c r="M847" s="7"/>
    </row>
    <row r="848" customHeight="1" spans="12:13">
      <c r="L848" s="6"/>
      <c r="M848" s="7"/>
    </row>
    <row r="849" customHeight="1" spans="12:13">
      <c r="L849" s="6"/>
      <c r="M849" s="7"/>
    </row>
    <row r="850" customHeight="1" spans="12:13">
      <c r="L850" s="6"/>
      <c r="M850" s="7"/>
    </row>
    <row r="851" customHeight="1" spans="12:13">
      <c r="L851" s="6"/>
      <c r="M851" s="7"/>
    </row>
    <row r="852" customHeight="1" spans="12:13">
      <c r="L852" s="6"/>
      <c r="M852" s="7"/>
    </row>
    <row r="853" customHeight="1" spans="12:13">
      <c r="L853" s="6"/>
      <c r="M853" s="7"/>
    </row>
    <row r="854" customHeight="1" spans="12:13">
      <c r="L854" s="6"/>
      <c r="M854" s="7"/>
    </row>
    <row r="855" customHeight="1" spans="12:13">
      <c r="L855" s="6"/>
      <c r="M855" s="7"/>
    </row>
    <row r="856" customHeight="1" spans="12:13">
      <c r="L856" s="6"/>
      <c r="M856" s="7"/>
    </row>
    <row r="857" customHeight="1" spans="12:13">
      <c r="L857" s="6"/>
      <c r="M857" s="7"/>
    </row>
    <row r="858" customHeight="1" spans="12:13">
      <c r="L858" s="6"/>
      <c r="M858" s="7"/>
    </row>
    <row r="859" customHeight="1" spans="12:13">
      <c r="L859" s="6"/>
      <c r="M859" s="7"/>
    </row>
    <row r="860" customHeight="1" spans="12:13">
      <c r="L860" s="6"/>
      <c r="M860" s="7"/>
    </row>
    <row r="861" customHeight="1" spans="12:13">
      <c r="L861" s="6"/>
      <c r="M861" s="7"/>
    </row>
    <row r="862" customHeight="1" spans="12:13">
      <c r="L862" s="6"/>
      <c r="M862" s="7"/>
    </row>
    <row r="863" customHeight="1" spans="12:13">
      <c r="L863" s="6"/>
      <c r="M863" s="7"/>
    </row>
    <row r="864" customHeight="1" spans="12:13">
      <c r="L864" s="6"/>
      <c r="M864" s="7"/>
    </row>
    <row r="865" customHeight="1" spans="12:13">
      <c r="L865" s="6"/>
      <c r="M865" s="7"/>
    </row>
    <row r="866" customHeight="1" spans="12:13">
      <c r="L866" s="6"/>
      <c r="M866" s="7"/>
    </row>
    <row r="867" customHeight="1" spans="12:13">
      <c r="L867" s="6"/>
      <c r="M867" s="7"/>
    </row>
    <row r="868" customHeight="1" spans="12:13">
      <c r="L868" s="6"/>
      <c r="M868" s="7"/>
    </row>
    <row r="869" customHeight="1" spans="12:13">
      <c r="L869" s="6"/>
      <c r="M869" s="7"/>
    </row>
    <row r="870" customHeight="1" spans="12:13">
      <c r="L870" s="6"/>
      <c r="M870" s="7"/>
    </row>
    <row r="871" customHeight="1" spans="12:13">
      <c r="L871" s="6"/>
      <c r="M871" s="7"/>
    </row>
    <row r="872" customHeight="1" spans="12:13">
      <c r="L872" s="6"/>
      <c r="M872" s="7"/>
    </row>
    <row r="873" customHeight="1" spans="12:13">
      <c r="L873" s="6"/>
      <c r="M873" s="7"/>
    </row>
    <row r="874" customHeight="1" spans="12:13">
      <c r="L874" s="6"/>
      <c r="M874" s="7"/>
    </row>
    <row r="875" customHeight="1" spans="12:13">
      <c r="L875" s="6"/>
      <c r="M875" s="7"/>
    </row>
    <row r="876" customHeight="1" spans="12:13">
      <c r="L876" s="6"/>
      <c r="M876" s="7"/>
    </row>
    <row r="877" customHeight="1" spans="12:13">
      <c r="L877" s="6"/>
      <c r="M877" s="7"/>
    </row>
    <row r="878" customHeight="1" spans="12:13">
      <c r="L878" s="6"/>
      <c r="M878" s="7"/>
    </row>
    <row r="879" customHeight="1" spans="12:13">
      <c r="L879" s="6"/>
      <c r="M879" s="7"/>
    </row>
    <row r="880" customHeight="1" spans="12:13">
      <c r="L880" s="6"/>
      <c r="M880" s="7"/>
    </row>
    <row r="881" customHeight="1" spans="12:13">
      <c r="L881" s="6"/>
      <c r="M881" s="7"/>
    </row>
    <row r="882" customHeight="1" spans="12:13">
      <c r="L882" s="6"/>
      <c r="M882" s="7"/>
    </row>
    <row r="883" customHeight="1" spans="12:13">
      <c r="L883" s="6"/>
      <c r="M883" s="7"/>
    </row>
    <row r="884" customHeight="1" spans="12:13">
      <c r="L884" s="6"/>
      <c r="M884" s="7"/>
    </row>
    <row r="885" customHeight="1" spans="12:13">
      <c r="L885" s="6"/>
      <c r="M885" s="7"/>
    </row>
    <row r="886" customHeight="1" spans="12:13">
      <c r="L886" s="6"/>
      <c r="M886" s="7"/>
    </row>
    <row r="887" customHeight="1" spans="12:13">
      <c r="L887" s="6"/>
      <c r="M887" s="7"/>
    </row>
    <row r="888" customHeight="1" spans="12:13">
      <c r="L888" s="6"/>
      <c r="M888" s="7"/>
    </row>
    <row r="889" customHeight="1" spans="12:13">
      <c r="L889" s="6"/>
      <c r="M889" s="7"/>
    </row>
    <row r="890" customHeight="1" spans="12:13">
      <c r="L890" s="6"/>
      <c r="M890" s="7"/>
    </row>
    <row r="891" customHeight="1" spans="12:13">
      <c r="L891" s="6"/>
      <c r="M891" s="7"/>
    </row>
    <row r="892" customHeight="1" spans="12:13">
      <c r="L892" s="6"/>
      <c r="M892" s="7"/>
    </row>
    <row r="893" customHeight="1" spans="12:13">
      <c r="L893" s="6"/>
      <c r="M893" s="7"/>
    </row>
    <row r="894" customHeight="1" spans="12:13">
      <c r="L894" s="6"/>
      <c r="M894" s="7"/>
    </row>
    <row r="895" customHeight="1" spans="12:13">
      <c r="L895" s="6"/>
      <c r="M895" s="7"/>
    </row>
    <row r="896" customHeight="1" spans="12:13">
      <c r="L896" s="6"/>
      <c r="M896" s="7"/>
    </row>
    <row r="897" customHeight="1" spans="12:13">
      <c r="L897" s="6"/>
      <c r="M897" s="7"/>
    </row>
    <row r="898" customHeight="1" spans="12:13">
      <c r="L898" s="6"/>
      <c r="M898" s="7"/>
    </row>
    <row r="899" customHeight="1" spans="12:13">
      <c r="L899" s="6"/>
      <c r="M899" s="7"/>
    </row>
    <row r="900" customHeight="1" spans="12:13">
      <c r="L900" s="6"/>
      <c r="M900" s="7"/>
    </row>
    <row r="901" customHeight="1" spans="12:13">
      <c r="L901" s="6"/>
      <c r="M901" s="7"/>
    </row>
    <row r="902" customHeight="1" spans="12:13">
      <c r="L902" s="6"/>
      <c r="M902" s="7"/>
    </row>
    <row r="903" customHeight="1" spans="12:13">
      <c r="L903" s="6"/>
      <c r="M903" s="7"/>
    </row>
    <row r="904" customHeight="1" spans="12:13">
      <c r="L904" s="6"/>
      <c r="M904" s="7"/>
    </row>
    <row r="905" customHeight="1" spans="12:13">
      <c r="L905" s="6"/>
      <c r="M905" s="7"/>
    </row>
    <row r="906" customHeight="1" spans="12:13">
      <c r="L906" s="6"/>
      <c r="M906" s="7"/>
    </row>
    <row r="907" customHeight="1" spans="12:13">
      <c r="L907" s="6"/>
      <c r="M907" s="7"/>
    </row>
    <row r="908" customHeight="1" spans="12:13">
      <c r="L908" s="6"/>
      <c r="M908" s="7"/>
    </row>
    <row r="909" customHeight="1" spans="12:13">
      <c r="L909" s="6"/>
      <c r="M909" s="7"/>
    </row>
    <row r="910" customHeight="1" spans="12:13">
      <c r="L910" s="6"/>
      <c r="M910" s="7"/>
    </row>
    <row r="911" customHeight="1" spans="12:13">
      <c r="L911" s="6"/>
      <c r="M911" s="7"/>
    </row>
    <row r="912" customHeight="1" spans="12:13">
      <c r="L912" s="6"/>
      <c r="M912" s="7"/>
    </row>
    <row r="913" customHeight="1" spans="12:13">
      <c r="L913" s="6"/>
      <c r="M913" s="7"/>
    </row>
    <row r="914" customHeight="1" spans="12:13">
      <c r="L914" s="6"/>
      <c r="M914" s="7"/>
    </row>
    <row r="915" customHeight="1" spans="12:13">
      <c r="L915" s="6"/>
      <c r="M915" s="7"/>
    </row>
    <row r="916" customHeight="1" spans="12:13">
      <c r="L916" s="6"/>
      <c r="M916" s="7"/>
    </row>
    <row r="917" customHeight="1" spans="12:13">
      <c r="L917" s="6"/>
      <c r="M917" s="7"/>
    </row>
    <row r="918" customHeight="1" spans="12:13">
      <c r="L918" s="6"/>
      <c r="M918" s="7"/>
    </row>
    <row r="919" customHeight="1" spans="12:13">
      <c r="L919" s="6"/>
      <c r="M919" s="7"/>
    </row>
    <row r="920" customHeight="1" spans="12:13">
      <c r="L920" s="6"/>
      <c r="M920" s="7"/>
    </row>
    <row r="921" customHeight="1" spans="12:13">
      <c r="L921" s="6"/>
      <c r="M921" s="7"/>
    </row>
    <row r="922" customHeight="1" spans="12:13">
      <c r="L922" s="6"/>
      <c r="M922" s="7"/>
    </row>
    <row r="923" customHeight="1" spans="12:13">
      <c r="L923" s="6"/>
      <c r="M923" s="7"/>
    </row>
    <row r="924" customHeight="1" spans="12:13">
      <c r="L924" s="6"/>
      <c r="M924" s="7"/>
    </row>
    <row r="925" customHeight="1" spans="12:13">
      <c r="L925" s="6"/>
      <c r="M925" s="7"/>
    </row>
    <row r="926" customHeight="1" spans="12:13">
      <c r="L926" s="6"/>
      <c r="M926" s="7"/>
    </row>
    <row r="927" customHeight="1" spans="12:13">
      <c r="L927" s="6"/>
      <c r="M927" s="7"/>
    </row>
    <row r="928" customHeight="1" spans="12:13">
      <c r="L928" s="6"/>
      <c r="M928" s="7"/>
    </row>
    <row r="929" customHeight="1" spans="12:13">
      <c r="L929" s="6"/>
      <c r="M929" s="7"/>
    </row>
    <row r="930" customHeight="1" spans="12:13">
      <c r="L930" s="6"/>
      <c r="M930" s="7"/>
    </row>
    <row r="931" customHeight="1" spans="12:13">
      <c r="L931" s="6"/>
      <c r="M931" s="7"/>
    </row>
    <row r="932" customHeight="1" spans="12:13">
      <c r="L932" s="6"/>
      <c r="M932" s="7"/>
    </row>
    <row r="933" customHeight="1" spans="12:13">
      <c r="L933" s="6"/>
      <c r="M933" s="7"/>
    </row>
    <row r="934" customHeight="1" spans="12:13">
      <c r="L934" s="6"/>
      <c r="M934" s="7"/>
    </row>
    <row r="935" customHeight="1" spans="12:13">
      <c r="L935" s="6"/>
      <c r="M935" s="7"/>
    </row>
    <row r="936" customHeight="1" spans="12:13">
      <c r="L936" s="6"/>
      <c r="M936" s="7"/>
    </row>
    <row r="937" customHeight="1" spans="12:13">
      <c r="L937" s="6"/>
      <c r="M937" s="7"/>
    </row>
    <row r="938" customHeight="1" spans="12:13">
      <c r="L938" s="6"/>
      <c r="M938" s="7"/>
    </row>
    <row r="939" customHeight="1" spans="12:13">
      <c r="L939" s="6"/>
      <c r="M939" s="7"/>
    </row>
    <row r="940" customHeight="1" spans="12:13">
      <c r="L940" s="6"/>
      <c r="M940" s="7"/>
    </row>
    <row r="941" customHeight="1" spans="12:13">
      <c r="L941" s="6"/>
      <c r="M941" s="7"/>
    </row>
    <row r="942" customHeight="1" spans="12:13">
      <c r="L942" s="6"/>
      <c r="M942" s="7"/>
    </row>
    <row r="943" customHeight="1" spans="12:13">
      <c r="L943" s="6"/>
      <c r="M943" s="7"/>
    </row>
    <row r="944" customHeight="1" spans="12:13">
      <c r="L944" s="6"/>
      <c r="M944" s="7"/>
    </row>
    <row r="945" customHeight="1" spans="12:13">
      <c r="L945" s="6"/>
      <c r="M945" s="7"/>
    </row>
    <row r="946" customHeight="1" spans="12:13">
      <c r="L946" s="6"/>
      <c r="M946" s="7"/>
    </row>
    <row r="947" customHeight="1" spans="12:13">
      <c r="L947" s="6"/>
      <c r="M947" s="7"/>
    </row>
    <row r="948" customHeight="1" spans="12:13">
      <c r="L948" s="6"/>
      <c r="M948" s="7"/>
    </row>
    <row r="949" customHeight="1" spans="12:13">
      <c r="L949" s="6"/>
      <c r="M949" s="7"/>
    </row>
    <row r="950" customHeight="1" spans="12:13">
      <c r="L950" s="6"/>
      <c r="M950" s="7"/>
    </row>
    <row r="951" customHeight="1" spans="12:13">
      <c r="L951" s="6"/>
      <c r="M951" s="7"/>
    </row>
    <row r="952" customHeight="1" spans="12:13">
      <c r="L952" s="6"/>
      <c r="M952" s="7"/>
    </row>
    <row r="953" customHeight="1" spans="12:13">
      <c r="L953" s="6"/>
      <c r="M953" s="7"/>
    </row>
    <row r="954" customHeight="1" spans="12:13">
      <c r="L954" s="6"/>
      <c r="M954" s="7"/>
    </row>
    <row r="955" customHeight="1" spans="12:13">
      <c r="L955" s="6"/>
      <c r="M955" s="7"/>
    </row>
    <row r="956" customHeight="1" spans="12:13">
      <c r="L956" s="6"/>
      <c r="M956" s="7"/>
    </row>
    <row r="957" customHeight="1" spans="12:13">
      <c r="L957" s="6"/>
      <c r="M957" s="7"/>
    </row>
    <row r="958" customHeight="1" spans="12:13">
      <c r="L958" s="6"/>
      <c r="M958" s="7"/>
    </row>
    <row r="959" customHeight="1" spans="12:13">
      <c r="L959" s="6"/>
      <c r="M959" s="7"/>
    </row>
    <row r="960" customHeight="1" spans="12:13">
      <c r="L960" s="6"/>
      <c r="M960" s="7"/>
    </row>
    <row r="961" customHeight="1" spans="12:13">
      <c r="L961" s="6"/>
      <c r="M961" s="7"/>
    </row>
    <row r="962" customHeight="1" spans="12:13">
      <c r="L962" s="6"/>
      <c r="M962" s="7"/>
    </row>
    <row r="963" customHeight="1" spans="12:13">
      <c r="L963" s="6"/>
      <c r="M963" s="7"/>
    </row>
    <row r="964" customHeight="1" spans="12:13">
      <c r="L964" s="6"/>
      <c r="M964" s="7"/>
    </row>
    <row r="965" customHeight="1" spans="12:13">
      <c r="L965" s="6"/>
      <c r="M965" s="7"/>
    </row>
    <row r="966" customHeight="1" spans="12:13">
      <c r="L966" s="6"/>
      <c r="M966" s="7"/>
    </row>
    <row r="967" customHeight="1" spans="12:13">
      <c r="L967" s="6"/>
      <c r="M967" s="7"/>
    </row>
    <row r="968" customHeight="1" spans="12:13">
      <c r="L968" s="6"/>
      <c r="M968" s="7"/>
    </row>
    <row r="969" customHeight="1" spans="12:13">
      <c r="L969" s="6"/>
      <c r="M969" s="7"/>
    </row>
    <row r="970" customHeight="1" spans="12:13">
      <c r="L970" s="6"/>
      <c r="M970" s="7"/>
    </row>
    <row r="971" customHeight="1" spans="12:13">
      <c r="L971" s="6"/>
      <c r="M971" s="7"/>
    </row>
    <row r="972" customHeight="1" spans="12:13">
      <c r="L972" s="6"/>
      <c r="M972" s="7"/>
    </row>
    <row r="973" customHeight="1" spans="12:13">
      <c r="L973" s="6"/>
      <c r="M973" s="7"/>
    </row>
    <row r="974" customHeight="1" spans="12:13">
      <c r="L974" s="6"/>
      <c r="M974" s="7"/>
    </row>
    <row r="975" customHeight="1" spans="12:13">
      <c r="L975" s="6"/>
      <c r="M975" s="7"/>
    </row>
    <row r="976" customHeight="1" spans="12:13">
      <c r="L976" s="6"/>
      <c r="M976" s="7"/>
    </row>
    <row r="977" customHeight="1" spans="12:13">
      <c r="L977" s="6"/>
      <c r="M977" s="7"/>
    </row>
    <row r="978" customHeight="1" spans="12:13">
      <c r="L978" s="6"/>
      <c r="M978" s="7"/>
    </row>
    <row r="979" customHeight="1" spans="12:13">
      <c r="L979" s="6"/>
      <c r="M979" s="7"/>
    </row>
    <row r="980" customHeight="1" spans="12:13">
      <c r="L980" s="6"/>
      <c r="M980" s="7"/>
    </row>
    <row r="981" customHeight="1" spans="12:13">
      <c r="L981" s="6"/>
      <c r="M981" s="7"/>
    </row>
    <row r="982" customHeight="1" spans="12:13">
      <c r="L982" s="6"/>
      <c r="M982" s="7"/>
    </row>
    <row r="983" customHeight="1" spans="12:13">
      <c r="L983" s="6"/>
      <c r="M983" s="7"/>
    </row>
    <row r="984" customHeight="1" spans="12:13">
      <c r="L984" s="6"/>
      <c r="M984" s="7"/>
    </row>
    <row r="985" customHeight="1" spans="12:13">
      <c r="L985" s="6"/>
      <c r="M985" s="7"/>
    </row>
    <row r="986" customHeight="1" spans="12:13">
      <c r="L986" s="6"/>
      <c r="M986" s="7"/>
    </row>
    <row r="987" customHeight="1" spans="12:13">
      <c r="L987" s="6"/>
      <c r="M987" s="7"/>
    </row>
    <row r="988" customHeight="1" spans="12:13">
      <c r="L988" s="6"/>
      <c r="M988" s="7"/>
    </row>
    <row r="989" customHeight="1" spans="12:13">
      <c r="L989" s="6"/>
      <c r="M989" s="7"/>
    </row>
    <row r="990" customHeight="1" spans="12:13">
      <c r="L990" s="6"/>
      <c r="M990" s="7"/>
    </row>
    <row r="991" customHeight="1" spans="12:13">
      <c r="L991" s="6"/>
      <c r="M991" s="7"/>
    </row>
    <row r="992" customHeight="1" spans="12:13">
      <c r="L992" s="6"/>
      <c r="M992" s="7"/>
    </row>
    <row r="993" customHeight="1" spans="12:13">
      <c r="L993" s="6"/>
      <c r="M993" s="7"/>
    </row>
    <row r="994" customHeight="1" spans="12:13">
      <c r="L994" s="6"/>
      <c r="M994" s="7"/>
    </row>
    <row r="995" customHeight="1" spans="12:13">
      <c r="L995" s="6"/>
      <c r="M995" s="7"/>
    </row>
    <row r="996" customHeight="1" spans="12:13">
      <c r="L996" s="6"/>
      <c r="M996" s="7"/>
    </row>
    <row r="997" customHeight="1" spans="12:13">
      <c r="L997" s="6"/>
      <c r="M997" s="7"/>
    </row>
    <row r="998" customHeight="1" spans="12:13">
      <c r="L998" s="6"/>
      <c r="M998" s="7"/>
    </row>
    <row r="999" customHeight="1" spans="12:13">
      <c r="L999" s="6"/>
      <c r="M999" s="7"/>
    </row>
    <row r="1000" customHeight="1" spans="12:13">
      <c r="L1000" s="6"/>
      <c r="M1000" s="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15"/>
  <sheetViews>
    <sheetView showGridLines="0" workbookViewId="0">
      <selection activeCell="A1" sqref="A1"/>
    </sheetView>
  </sheetViews>
  <sheetFormatPr defaultColWidth="12.6272727272727" defaultRowHeight="15.75" customHeight="1" outlineLevelCol="4"/>
  <sheetData>
    <row r="1" customHeight="1" spans="1:5">
      <c r="A1" s="3" t="s">
        <v>0</v>
      </c>
      <c r="B1" s="3" t="s">
        <v>42</v>
      </c>
      <c r="C1" s="3" t="s">
        <v>602</v>
      </c>
      <c r="D1" s="3" t="s">
        <v>603</v>
      </c>
      <c r="E1" s="3" t="s">
        <v>604</v>
      </c>
    </row>
    <row r="2" customHeight="1" spans="1:5">
      <c r="A2" s="3">
        <v>1</v>
      </c>
      <c r="B2" s="3" t="s">
        <v>50</v>
      </c>
      <c r="C2" s="3">
        <v>10142</v>
      </c>
      <c r="D2" s="3">
        <v>8</v>
      </c>
      <c r="E2" s="3">
        <v>6</v>
      </c>
    </row>
    <row r="3" customHeight="1" spans="1:5">
      <c r="A3" s="3"/>
      <c r="B3" s="3" t="s">
        <v>65</v>
      </c>
      <c r="C3" s="3">
        <v>299</v>
      </c>
      <c r="D3" s="3">
        <v>1</v>
      </c>
      <c r="E3" s="3">
        <v>1</v>
      </c>
    </row>
    <row r="4" customHeight="1" spans="1:5">
      <c r="A4" s="3" t="s">
        <v>605</v>
      </c>
      <c r="B4" s="3"/>
      <c r="C4" s="3">
        <v>10441</v>
      </c>
      <c r="D4" s="3">
        <v>9</v>
      </c>
      <c r="E4" s="3">
        <v>7</v>
      </c>
    </row>
    <row r="5" customHeight="1" spans="1:5">
      <c r="A5" s="3">
        <v>2</v>
      </c>
      <c r="B5" s="3" t="s">
        <v>50</v>
      </c>
      <c r="C5" s="3">
        <v>3640</v>
      </c>
      <c r="D5" s="3">
        <v>10</v>
      </c>
      <c r="E5" s="3">
        <v>9</v>
      </c>
    </row>
    <row r="6" customHeight="1" spans="1:5">
      <c r="A6" s="3" t="s">
        <v>606</v>
      </c>
      <c r="B6" s="3"/>
      <c r="C6" s="3">
        <v>3640</v>
      </c>
      <c r="D6" s="3">
        <v>10</v>
      </c>
      <c r="E6" s="3">
        <v>9</v>
      </c>
    </row>
    <row r="7" customHeight="1" spans="1:5">
      <c r="A7" s="3">
        <v>3</v>
      </c>
      <c r="B7" s="3" t="s">
        <v>50</v>
      </c>
      <c r="C7" s="3">
        <v>8084</v>
      </c>
      <c r="D7" s="3">
        <v>16</v>
      </c>
      <c r="E7" s="3">
        <v>13</v>
      </c>
    </row>
    <row r="8" customHeight="1" spans="1:5">
      <c r="A8" s="3"/>
      <c r="B8" s="3" t="s">
        <v>78</v>
      </c>
      <c r="C8" s="3">
        <v>149</v>
      </c>
      <c r="D8" s="3">
        <v>1</v>
      </c>
      <c r="E8" s="3">
        <v>1</v>
      </c>
    </row>
    <row r="9" customHeight="1" spans="1:5">
      <c r="A9" s="3" t="s">
        <v>607</v>
      </c>
      <c r="B9" s="3"/>
      <c r="C9" s="3">
        <v>8233</v>
      </c>
      <c r="D9" s="3">
        <v>17</v>
      </c>
      <c r="E9" s="3">
        <v>13</v>
      </c>
    </row>
    <row r="10" customHeight="1" spans="1:5">
      <c r="A10" s="3">
        <v>4</v>
      </c>
      <c r="B10" s="3" t="s">
        <v>50</v>
      </c>
      <c r="C10" s="3">
        <v>6941</v>
      </c>
      <c r="D10" s="3">
        <v>9</v>
      </c>
      <c r="E10" s="3">
        <v>7</v>
      </c>
    </row>
    <row r="11" customHeight="1" spans="1:5">
      <c r="A11" s="3" t="s">
        <v>608</v>
      </c>
      <c r="B11" s="3"/>
      <c r="C11" s="3">
        <v>6941</v>
      </c>
      <c r="D11" s="3">
        <v>9</v>
      </c>
      <c r="E11" s="3">
        <v>7</v>
      </c>
    </row>
    <row r="12" customHeight="1" spans="1:5">
      <c r="A12" s="3">
        <v>5</v>
      </c>
      <c r="B12" s="3" t="s">
        <v>50</v>
      </c>
      <c r="C12" s="3">
        <v>5340</v>
      </c>
      <c r="D12" s="3">
        <v>10</v>
      </c>
      <c r="E12" s="3">
        <v>8</v>
      </c>
    </row>
    <row r="13" customHeight="1" spans="1:5">
      <c r="A13" s="3"/>
      <c r="B13" s="3" t="s">
        <v>65</v>
      </c>
      <c r="C13" s="3">
        <v>499</v>
      </c>
      <c r="D13" s="3">
        <v>1</v>
      </c>
      <c r="E13" s="3">
        <v>1</v>
      </c>
    </row>
    <row r="14" customHeight="1" spans="1:5">
      <c r="A14" s="3" t="s">
        <v>609</v>
      </c>
      <c r="B14" s="3"/>
      <c r="C14" s="3">
        <v>5839</v>
      </c>
      <c r="D14" s="3">
        <v>11</v>
      </c>
      <c r="E14" s="3">
        <v>9</v>
      </c>
    </row>
    <row r="15" customHeight="1" spans="1:5">
      <c r="A15" s="3" t="s">
        <v>34</v>
      </c>
      <c r="B15" s="3"/>
      <c r="C15" s="3">
        <v>35094</v>
      </c>
      <c r="D15" s="3">
        <v>56</v>
      </c>
      <c r="E15" s="3">
        <v>25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6"/>
  <sheetViews>
    <sheetView workbookViewId="0">
      <selection activeCell="A1" sqref="A1"/>
    </sheetView>
  </sheetViews>
  <sheetFormatPr defaultColWidth="12.6272727272727" defaultRowHeight="15.75" customHeight="1" outlineLevelRow="5" outlineLevelCol="4"/>
  <cols>
    <col min="1" max="1" width="14.6272727272727" customWidth="1"/>
  </cols>
  <sheetData>
    <row r="1" customHeight="1" spans="1:5">
      <c r="A1" s="1" t="s">
        <v>610</v>
      </c>
      <c r="B1" s="1" t="s">
        <v>52</v>
      </c>
      <c r="C1" s="1" t="s">
        <v>49</v>
      </c>
      <c r="D1" s="1" t="s">
        <v>64</v>
      </c>
      <c r="E1" s="1" t="s">
        <v>55</v>
      </c>
    </row>
    <row r="2" customHeight="1" spans="1:5">
      <c r="A2" s="1" t="s">
        <v>611</v>
      </c>
      <c r="B2" s="2">
        <v>0</v>
      </c>
      <c r="C2" s="2">
        <v>0.015</v>
      </c>
      <c r="D2" s="2">
        <v>0.02</v>
      </c>
      <c r="E2" s="2">
        <v>0.01</v>
      </c>
    </row>
    <row r="4" customHeight="1" spans="1:5">
      <c r="A4" s="1" t="s">
        <v>612</v>
      </c>
    </row>
    <row r="6" customHeight="1" spans="1:5">
      <c r="A6" s="1" t="s">
        <v>613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41"/>
  <sheetViews>
    <sheetView workbookViewId="0">
      <selection activeCell="A1" sqref="A1"/>
    </sheetView>
  </sheetViews>
  <sheetFormatPr defaultColWidth="12.6272727272727" defaultRowHeight="15.75" customHeight="1" outlineLevelCol="3"/>
  <sheetData>
    <row r="1" customHeight="1" spans="1:4">
      <c r="A1" s="1" t="s">
        <v>0</v>
      </c>
      <c r="B1" s="1" t="s">
        <v>614</v>
      </c>
      <c r="C1" s="1" t="s">
        <v>38</v>
      </c>
      <c r="D1" s="1" t="s">
        <v>39</v>
      </c>
    </row>
    <row r="2" customHeight="1" spans="1:4">
      <c r="A2" s="1">
        <v>1</v>
      </c>
      <c r="B2" s="1" t="s">
        <v>615</v>
      </c>
      <c r="C2" s="1" t="s">
        <v>616</v>
      </c>
      <c r="D2" s="1" t="s">
        <v>617</v>
      </c>
    </row>
    <row r="3" customHeight="1" spans="1:4">
      <c r="A3" s="1">
        <v>2</v>
      </c>
      <c r="B3" s="1" t="s">
        <v>618</v>
      </c>
      <c r="C3" s="1" t="s">
        <v>619</v>
      </c>
      <c r="D3" s="1" t="s">
        <v>620</v>
      </c>
    </row>
    <row r="4" customHeight="1" spans="1:4">
      <c r="A4" s="1">
        <v>3</v>
      </c>
      <c r="B4" s="1" t="s">
        <v>621</v>
      </c>
      <c r="C4" s="1" t="s">
        <v>619</v>
      </c>
      <c r="D4" s="1" t="s">
        <v>622</v>
      </c>
    </row>
    <row r="5" customHeight="1" spans="1:4">
      <c r="A5" s="1">
        <v>4</v>
      </c>
      <c r="B5" s="1" t="s">
        <v>623</v>
      </c>
      <c r="C5" s="1" t="s">
        <v>616</v>
      </c>
      <c r="D5" s="1" t="s">
        <v>622</v>
      </c>
    </row>
    <row r="6" customHeight="1" spans="1:4">
      <c r="A6" s="1">
        <v>5</v>
      </c>
      <c r="B6" s="1" t="s">
        <v>624</v>
      </c>
      <c r="C6" s="1" t="s">
        <v>625</v>
      </c>
      <c r="D6" s="1" t="s">
        <v>617</v>
      </c>
    </row>
    <row r="7" customHeight="1" spans="1:4">
      <c r="A7" s="1">
        <v>6</v>
      </c>
      <c r="B7" s="1" t="s">
        <v>626</v>
      </c>
      <c r="C7" s="1" t="s">
        <v>627</v>
      </c>
      <c r="D7" s="1" t="s">
        <v>617</v>
      </c>
    </row>
    <row r="8" customHeight="1" spans="1:4">
      <c r="A8" s="1">
        <v>7</v>
      </c>
      <c r="B8" s="1" t="s">
        <v>628</v>
      </c>
      <c r="C8" s="1" t="s">
        <v>627</v>
      </c>
      <c r="D8" s="1" t="s">
        <v>622</v>
      </c>
    </row>
    <row r="9" customHeight="1" spans="1:4">
      <c r="A9" s="1">
        <v>8</v>
      </c>
      <c r="B9" s="1" t="s">
        <v>629</v>
      </c>
      <c r="C9" s="1" t="s">
        <v>627</v>
      </c>
      <c r="D9" s="1" t="s">
        <v>630</v>
      </c>
    </row>
    <row r="10" customHeight="1" spans="1:4">
      <c r="A10" s="1">
        <v>9</v>
      </c>
      <c r="B10" s="1" t="s">
        <v>631</v>
      </c>
      <c r="C10" s="1" t="s">
        <v>616</v>
      </c>
      <c r="D10" s="1" t="s">
        <v>630</v>
      </c>
    </row>
    <row r="11" customHeight="1" spans="1:4">
      <c r="A11" s="1">
        <v>10</v>
      </c>
      <c r="B11" s="1" t="s">
        <v>632</v>
      </c>
      <c r="C11" s="1" t="s">
        <v>619</v>
      </c>
      <c r="D11" s="1" t="s">
        <v>620</v>
      </c>
    </row>
    <row r="12" customHeight="1" spans="1:4">
      <c r="A12" s="1">
        <v>11</v>
      </c>
      <c r="B12" s="1" t="s">
        <v>633</v>
      </c>
      <c r="C12" s="1" t="s">
        <v>616</v>
      </c>
      <c r="D12" s="1" t="s">
        <v>630</v>
      </c>
    </row>
    <row r="13" customHeight="1" spans="1:4">
      <c r="A13" s="1">
        <v>12</v>
      </c>
      <c r="B13" s="1" t="s">
        <v>634</v>
      </c>
      <c r="C13" s="1" t="s">
        <v>616</v>
      </c>
      <c r="D13" s="1" t="s">
        <v>622</v>
      </c>
    </row>
    <row r="14" customHeight="1" spans="1:4">
      <c r="A14" s="1">
        <v>13</v>
      </c>
      <c r="B14" s="1" t="s">
        <v>635</v>
      </c>
      <c r="C14" s="1" t="s">
        <v>636</v>
      </c>
      <c r="D14" s="1" t="s">
        <v>622</v>
      </c>
    </row>
    <row r="15" customHeight="1" spans="1:4">
      <c r="A15" s="1">
        <v>14</v>
      </c>
      <c r="B15" s="1" t="s">
        <v>637</v>
      </c>
      <c r="C15" s="1" t="s">
        <v>619</v>
      </c>
      <c r="D15" s="1" t="s">
        <v>622</v>
      </c>
    </row>
    <row r="16" customHeight="1" spans="1:4">
      <c r="A16" s="1">
        <v>15</v>
      </c>
      <c r="B16" s="1" t="s">
        <v>638</v>
      </c>
      <c r="C16" s="1" t="s">
        <v>636</v>
      </c>
      <c r="D16" s="1" t="s">
        <v>630</v>
      </c>
    </row>
    <row r="17" customHeight="1" spans="1:4">
      <c r="A17" s="1">
        <v>16</v>
      </c>
      <c r="B17" s="1" t="s">
        <v>639</v>
      </c>
      <c r="C17" s="1" t="s">
        <v>640</v>
      </c>
      <c r="D17" s="1" t="s">
        <v>620</v>
      </c>
    </row>
    <row r="18" customHeight="1" spans="1:4">
      <c r="A18" s="1">
        <v>17</v>
      </c>
      <c r="B18" s="1" t="s">
        <v>641</v>
      </c>
      <c r="C18" s="1" t="s">
        <v>619</v>
      </c>
      <c r="D18" s="1" t="s">
        <v>630</v>
      </c>
    </row>
    <row r="19" customHeight="1" spans="1:4">
      <c r="A19" s="1">
        <v>18</v>
      </c>
      <c r="B19" s="1" t="s">
        <v>642</v>
      </c>
      <c r="C19" s="1" t="s">
        <v>619</v>
      </c>
      <c r="D19" s="1" t="s">
        <v>620</v>
      </c>
    </row>
    <row r="20" customHeight="1" spans="1:4">
      <c r="A20" s="1">
        <v>19</v>
      </c>
      <c r="B20" s="1" t="s">
        <v>643</v>
      </c>
      <c r="C20" s="1" t="s">
        <v>619</v>
      </c>
      <c r="D20" s="1" t="s">
        <v>630</v>
      </c>
    </row>
    <row r="21" customHeight="1" spans="1:4">
      <c r="A21" s="1">
        <v>20</v>
      </c>
      <c r="B21" s="1" t="s">
        <v>644</v>
      </c>
      <c r="C21" s="1" t="s">
        <v>627</v>
      </c>
      <c r="D21" s="1" t="s">
        <v>622</v>
      </c>
    </row>
    <row r="22" customHeight="1" spans="1:4">
      <c r="A22" s="1">
        <v>21</v>
      </c>
      <c r="B22" s="1" t="s">
        <v>645</v>
      </c>
      <c r="C22" s="1" t="s">
        <v>627</v>
      </c>
      <c r="D22" s="1" t="s">
        <v>622</v>
      </c>
    </row>
    <row r="23" customHeight="1" spans="1:4">
      <c r="A23" s="1">
        <v>22</v>
      </c>
      <c r="B23" s="1" t="s">
        <v>646</v>
      </c>
      <c r="C23" s="1" t="s">
        <v>636</v>
      </c>
      <c r="D23" s="1" t="s">
        <v>617</v>
      </c>
    </row>
    <row r="24" customHeight="1" spans="1:4">
      <c r="A24" s="1">
        <v>23</v>
      </c>
      <c r="B24" s="1" t="s">
        <v>647</v>
      </c>
      <c r="C24" s="1" t="s">
        <v>636</v>
      </c>
      <c r="D24" s="1" t="s">
        <v>630</v>
      </c>
    </row>
    <row r="25" customHeight="1" spans="1:4">
      <c r="A25" s="1">
        <v>24</v>
      </c>
      <c r="B25" s="1" t="s">
        <v>648</v>
      </c>
      <c r="C25" s="1" t="s">
        <v>619</v>
      </c>
      <c r="D25" s="1" t="s">
        <v>630</v>
      </c>
    </row>
    <row r="26" customHeight="1" spans="1:4">
      <c r="A26" s="1">
        <v>25</v>
      </c>
      <c r="B26" s="1" t="s">
        <v>649</v>
      </c>
      <c r="C26" s="1" t="s">
        <v>636</v>
      </c>
      <c r="D26" s="1" t="s">
        <v>617</v>
      </c>
    </row>
    <row r="27" customHeight="1" spans="1:4">
      <c r="A27" s="1">
        <v>26</v>
      </c>
      <c r="B27" s="1" t="s">
        <v>650</v>
      </c>
      <c r="C27" s="1" t="s">
        <v>627</v>
      </c>
      <c r="D27" s="1" t="s">
        <v>622</v>
      </c>
    </row>
    <row r="28" customHeight="1" spans="1:4">
      <c r="A28" s="1">
        <v>27</v>
      </c>
      <c r="B28" s="1" t="s">
        <v>651</v>
      </c>
      <c r="C28" s="1" t="s">
        <v>616</v>
      </c>
      <c r="D28" s="1" t="s">
        <v>630</v>
      </c>
    </row>
    <row r="29" customHeight="1" spans="1:4">
      <c r="A29" s="1">
        <v>28</v>
      </c>
      <c r="B29" s="1" t="s">
        <v>652</v>
      </c>
      <c r="C29" s="1" t="s">
        <v>616</v>
      </c>
      <c r="D29" s="1" t="s">
        <v>617</v>
      </c>
    </row>
    <row r="30" customHeight="1" spans="1:4">
      <c r="A30" s="1">
        <v>29</v>
      </c>
      <c r="B30" s="1" t="s">
        <v>653</v>
      </c>
      <c r="C30" s="1" t="s">
        <v>616</v>
      </c>
      <c r="D30" s="1" t="s">
        <v>630</v>
      </c>
    </row>
    <row r="31" customHeight="1" spans="1:4">
      <c r="A31" s="1">
        <v>30</v>
      </c>
      <c r="B31" s="1" t="s">
        <v>654</v>
      </c>
      <c r="C31" s="1" t="s">
        <v>636</v>
      </c>
      <c r="D31" s="1" t="s">
        <v>620</v>
      </c>
    </row>
    <row r="32" customHeight="1" spans="1:4">
      <c r="A32" s="1">
        <v>31</v>
      </c>
      <c r="B32" s="1" t="s">
        <v>655</v>
      </c>
      <c r="C32" s="1" t="s">
        <v>640</v>
      </c>
      <c r="D32" s="1" t="s">
        <v>622</v>
      </c>
    </row>
    <row r="33" customHeight="1" spans="1:4">
      <c r="A33" s="1">
        <v>32</v>
      </c>
      <c r="B33" s="1" t="s">
        <v>656</v>
      </c>
      <c r="C33" s="1" t="s">
        <v>627</v>
      </c>
      <c r="D33" s="1" t="s">
        <v>620</v>
      </c>
    </row>
    <row r="34" customHeight="1" spans="1:4">
      <c r="A34" s="1">
        <v>33</v>
      </c>
      <c r="B34" s="1" t="s">
        <v>657</v>
      </c>
      <c r="C34" s="1" t="s">
        <v>640</v>
      </c>
      <c r="D34" s="1" t="s">
        <v>622</v>
      </c>
    </row>
    <row r="35" customHeight="1" spans="1:4">
      <c r="A35" s="1">
        <v>34</v>
      </c>
      <c r="B35" s="1" t="s">
        <v>658</v>
      </c>
      <c r="C35" s="1" t="s">
        <v>636</v>
      </c>
      <c r="D35" s="1" t="s">
        <v>617</v>
      </c>
    </row>
    <row r="36" customHeight="1" spans="1:4">
      <c r="A36" s="1">
        <v>35</v>
      </c>
      <c r="B36" s="1" t="s">
        <v>659</v>
      </c>
      <c r="C36" s="1" t="s">
        <v>625</v>
      </c>
      <c r="D36" s="1" t="s">
        <v>622</v>
      </c>
    </row>
    <row r="37" customHeight="1" spans="1:4">
      <c r="A37" s="1">
        <v>36</v>
      </c>
      <c r="B37" s="1" t="s">
        <v>660</v>
      </c>
      <c r="C37" s="1" t="s">
        <v>661</v>
      </c>
      <c r="D37" s="1" t="s">
        <v>622</v>
      </c>
    </row>
    <row r="38" customHeight="1" spans="1:4">
      <c r="A38" s="1">
        <v>37</v>
      </c>
      <c r="B38" s="1" t="s">
        <v>662</v>
      </c>
      <c r="C38" s="1" t="s">
        <v>661</v>
      </c>
      <c r="D38" s="1" t="s">
        <v>617</v>
      </c>
    </row>
    <row r="39" customHeight="1" spans="1:4">
      <c r="A39" s="1">
        <v>38</v>
      </c>
      <c r="B39" s="1" t="s">
        <v>663</v>
      </c>
      <c r="C39" s="1" t="s">
        <v>619</v>
      </c>
      <c r="D39" s="1" t="s">
        <v>622</v>
      </c>
    </row>
    <row r="40" customHeight="1" spans="1:4">
      <c r="A40" s="1">
        <v>39</v>
      </c>
      <c r="B40" s="1" t="s">
        <v>664</v>
      </c>
      <c r="C40" s="1" t="s">
        <v>661</v>
      </c>
      <c r="D40" s="1" t="s">
        <v>630</v>
      </c>
    </row>
    <row r="41" customHeight="1" spans="1:4">
      <c r="A41" s="1">
        <v>40</v>
      </c>
      <c r="B41" s="1" t="s">
        <v>665</v>
      </c>
      <c r="C41" s="1" t="s">
        <v>661</v>
      </c>
      <c r="D41" s="1" t="s">
        <v>617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Daily Pivot</vt:lpstr>
      <vt:lpstr>transactions-view</vt:lpstr>
      <vt:lpstr>Summary Pivot</vt:lpstr>
      <vt:lpstr>Reference</vt:lpstr>
      <vt:lpstr>merchants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nehag</cp:lastModifiedBy>
  <dcterms:created xsi:type="dcterms:W3CDTF">2026-08-26T09:43:48Z</dcterms:created>
  <dcterms:modified xsi:type="dcterms:W3CDTF">2026-08-26T10:03:53Z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BF026F504BB4499FB99A8F525E713BB4_12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